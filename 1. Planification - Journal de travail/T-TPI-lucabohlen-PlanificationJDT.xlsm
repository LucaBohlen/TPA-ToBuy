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12" l="1"/>
  <c r="C10" i="12"/>
  <c r="C9" i="12"/>
  <c r="C8" i="12"/>
  <c r="C7" i="12"/>
  <c r="C5" i="12"/>
  <c r="C4" i="12"/>
  <c r="C11" i="12"/>
  <c r="B19" i="12" l="1"/>
  <c r="C18" i="12"/>
  <c r="B29" i="12"/>
  <c r="C28" i="12"/>
  <c r="C25" i="12"/>
  <c r="C23" i="12"/>
  <c r="C29" i="12"/>
  <c r="C19" i="12"/>
  <c r="C26" i="12"/>
  <c r="C27" i="12"/>
  <c r="C24" i="12"/>
  <c r="C16" i="12"/>
  <c r="C15" i="12"/>
  <c r="C17" i="12"/>
  <c r="B39" i="12" l="1"/>
  <c r="C38" i="12"/>
  <c r="C35" i="12"/>
  <c r="C33" i="12"/>
  <c r="C36" i="12"/>
  <c r="C39" i="12"/>
  <c r="C34" i="12"/>
  <c r="C37" i="12"/>
  <c r="B47" i="12" l="1"/>
  <c r="C46" i="12"/>
  <c r="B59" i="12"/>
  <c r="C58" i="12"/>
  <c r="C43" i="12"/>
  <c r="C44" i="12"/>
  <c r="C47" i="12"/>
  <c r="C53" i="12"/>
  <c r="C57" i="12"/>
  <c r="C45" i="12"/>
  <c r="C51" i="12"/>
  <c r="C59" i="12"/>
  <c r="C77" i="12" l="1"/>
  <c r="C64" i="12"/>
  <c r="C83" i="12"/>
  <c r="C84" i="12"/>
  <c r="C76" i="12"/>
  <c r="C74" i="12"/>
  <c r="C82" i="12"/>
  <c r="C72" i="12"/>
  <c r="C73" i="12"/>
  <c r="C75" i="12"/>
  <c r="B68" i="12" l="1"/>
  <c r="C67" i="12"/>
  <c r="B78" i="12"/>
  <c r="B88" i="12"/>
  <c r="C87"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86" i="12"/>
  <c r="C88" i="12"/>
  <c r="C78" i="12"/>
  <c r="C66" i="12"/>
  <c r="C85" i="12"/>
  <c r="C65" i="12"/>
  <c r="C68" i="12"/>
  <c r="C63"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<sst xmlns="http://schemas.openxmlformats.org/spreadsheetml/2006/main" count="1099" uniqueCount="206">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</sst>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cellXfs>
  <cellStyles count="2">
    <cellStyle name="Lien hypertexte" xfId="1" builtinId="8"/>
    <cellStyle name="Normal" xfId="0" builtinId="0" customBuiltin="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printerSettings" Target="../printerSettings/printerSettings4.bin"/><Relationship Id="rId18" Type="http://schemas.openxmlformats.org/officeDocument/2006/relationships/control" Target="../activeX/activeX5.xml"/><Relationship Id="rId3" Type="http://schemas.openxmlformats.org/officeDocument/2006/relationships/hyperlink" Target="https://qastack.fr/programming/28628225/how-to-save-local-data-in-a-swift-app"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image" Target="../media/image5.emf"/><Relationship Id="rId2" Type="http://schemas.openxmlformats.org/officeDocument/2006/relationships/hyperlink" Target="https://trello.com/fr/tour" TargetMode="External"/><Relationship Id="rId16" Type="http://schemas.openxmlformats.org/officeDocument/2006/relationships/control" Target="../activeX/activeX4.xm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5" Type="http://schemas.openxmlformats.org/officeDocument/2006/relationships/hyperlink" Target="https://moqups.com/" TargetMode="External"/><Relationship Id="rId15" Type="http://schemas.openxmlformats.org/officeDocument/2006/relationships/vmlDrawing" Target="../drawings/vmlDrawing3.vm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image" Target="../media/image6.emf"/><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4" t="s">
        <v>34</v>
      </c>
      <c r="C35" s="204"/>
      <c r="D35" s="204"/>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5" t="s">
        <v>35</v>
      </c>
      <c r="C37" s="205"/>
      <c r="D37" s="205"/>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1" t="s">
        <v>33</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16" t="str">
        <f>E96</f>
        <v>89h50min</v>
      </c>
      <c r="H9" s="216"/>
      <c r="I9" s="216"/>
      <c r="J9" s="216"/>
      <c r="K9" s="216"/>
      <c r="L9" s="216"/>
      <c r="M9" s="216"/>
      <c r="N9" s="216"/>
      <c r="O9" s="216"/>
      <c r="P9" s="216"/>
      <c r="Q9" s="216"/>
      <c r="R9" s="216"/>
      <c r="S9" s="216"/>
      <c r="T9" s="216"/>
      <c r="U9" s="216"/>
      <c r="V9" s="119"/>
      <c r="W9" s="215" t="s">
        <v>25</v>
      </c>
      <c r="X9" s="215"/>
      <c r="Y9" s="215"/>
      <c r="Z9" s="215"/>
      <c r="AA9" s="215"/>
      <c r="AB9" s="215"/>
      <c r="AC9" s="215"/>
      <c r="AD9" s="215"/>
      <c r="AE9" s="215"/>
      <c r="AF9" s="215"/>
      <c r="AG9" s="215"/>
      <c r="AH9" s="216" t="str">
        <f>E98</f>
        <v>27h</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7"/>
      <c r="CS10" s="217"/>
      <c r="CT10" s="217"/>
      <c r="CU10" s="217"/>
      <c r="CV10" s="217"/>
      <c r="CW10" s="217"/>
      <c r="CX10" s="217"/>
      <c r="CY10" s="217"/>
      <c r="CZ10" s="217"/>
      <c r="DA10" s="217"/>
      <c r="DB10" s="217"/>
      <c r="DC10" s="217"/>
      <c r="DD10" s="217"/>
      <c r="DE10" s="217"/>
      <c r="DF10" s="217"/>
      <c r="DG10" s="217"/>
      <c r="DH10" s="217"/>
      <c r="DI10" s="217"/>
      <c r="DJ10" s="217"/>
      <c r="DK10" s="217"/>
      <c r="DL10" s="217"/>
      <c r="DM10" s="217"/>
      <c r="DN10" s="217"/>
      <c r="DO10" s="217"/>
      <c r="DP10" s="217"/>
      <c r="DQ10" s="217"/>
      <c r="DR10" s="217"/>
      <c r="DS10" s="217"/>
      <c r="DT10" s="217"/>
      <c r="DU10" s="217"/>
      <c r="DV10" s="217"/>
      <c r="DW10" s="217"/>
      <c r="DX10" s="217"/>
      <c r="DY10" s="217"/>
      <c r="DZ10" s="217"/>
      <c r="EA10" s="217"/>
      <c r="EB10" s="217"/>
      <c r="EC10" s="217"/>
      <c r="ED10" s="217"/>
      <c r="EE10" s="217"/>
      <c r="EF10" s="217"/>
      <c r="EG10" s="217"/>
      <c r="EH10" s="217"/>
      <c r="EI10" s="217"/>
      <c r="EJ10" s="217"/>
      <c r="EK10" s="217"/>
      <c r="EL10" s="217"/>
      <c r="EM10" s="217"/>
      <c r="EN10" s="217"/>
      <c r="EO10" s="217"/>
      <c r="EP10" s="217"/>
      <c r="EQ10" s="217"/>
      <c r="ER10" s="217"/>
      <c r="ES10" s="217"/>
      <c r="ET10" s="217"/>
      <c r="EU10" s="217"/>
      <c r="EV10" s="217"/>
      <c r="EW10" s="217"/>
      <c r="EX10" s="217"/>
      <c r="EY10" s="217"/>
      <c r="EZ10" s="217"/>
      <c r="FA10" s="217"/>
      <c r="FB10" s="217"/>
      <c r="FC10" s="217"/>
      <c r="FD10" s="217"/>
      <c r="FE10" s="217"/>
      <c r="FF10" s="217"/>
      <c r="FG10" s="217"/>
      <c r="FH10" s="217"/>
      <c r="FI10" s="217"/>
      <c r="FJ10" s="217"/>
      <c r="FK10" s="217"/>
      <c r="FL10" s="217"/>
      <c r="FM10" s="217"/>
      <c r="FN10" s="217"/>
      <c r="FO10" s="217"/>
      <c r="FP10" s="217"/>
      <c r="FQ10" s="217"/>
      <c r="FR10" s="217"/>
      <c r="FS10" s="217"/>
      <c r="FT10" s="217"/>
      <c r="FU10" s="217"/>
      <c r="FV10" s="217"/>
      <c r="FW10" s="217"/>
      <c r="FX10" s="217"/>
      <c r="FY10" s="217"/>
      <c r="FZ10" s="217"/>
      <c r="GA10" s="217"/>
      <c r="GB10" s="217"/>
      <c r="GC10" s="217"/>
      <c r="GD10" s="217"/>
      <c r="GE10" s="217"/>
      <c r="GF10" s="217"/>
      <c r="GG10" s="217"/>
      <c r="GH10" s="217"/>
      <c r="GI10" s="217"/>
      <c r="GJ10" s="217"/>
      <c r="GK10" s="217"/>
      <c r="GL10" s="217"/>
      <c r="GM10" s="217"/>
      <c r="GN10" s="217"/>
      <c r="GO10" s="217"/>
      <c r="GP10" s="217"/>
      <c r="GQ10" s="217"/>
      <c r="GR10" s="217"/>
      <c r="GS10" s="217"/>
      <c r="GT10" s="217"/>
      <c r="GU10" s="217"/>
      <c r="GV10" s="217"/>
      <c r="GW10" s="217"/>
      <c r="GX10" s="217"/>
      <c r="GY10" s="217"/>
      <c r="GZ10" s="217"/>
      <c r="HA10" s="217"/>
      <c r="HB10" s="217"/>
      <c r="HC10" s="217"/>
      <c r="HD10" s="217"/>
      <c r="HE10" s="217"/>
      <c r="HF10" s="217"/>
      <c r="HG10" s="217"/>
      <c r="HH10" s="217"/>
      <c r="HI10" s="217"/>
      <c r="HJ10" s="217"/>
      <c r="HK10" s="217"/>
      <c r="HL10" s="217"/>
      <c r="HM10" s="217"/>
      <c r="HN10" s="217"/>
      <c r="HO10" s="217"/>
      <c r="HP10" s="217"/>
      <c r="HQ10" s="217"/>
      <c r="HR10" s="217"/>
      <c r="HS10" s="217"/>
      <c r="HT10" s="217"/>
      <c r="HU10" s="217"/>
      <c r="HV10" s="217"/>
      <c r="HW10" s="217"/>
      <c r="HX10" s="217"/>
      <c r="HY10" s="217"/>
      <c r="HZ10" s="217"/>
      <c r="IA10" s="217"/>
      <c r="IB10" s="217"/>
      <c r="IC10" s="217"/>
      <c r="ID10" s="217"/>
      <c r="IE10" s="217"/>
      <c r="IF10" s="217"/>
      <c r="IG10" s="217"/>
      <c r="IH10" s="217"/>
      <c r="II10" s="217"/>
      <c r="IJ10" s="217"/>
      <c r="IK10" s="217"/>
      <c r="IL10" s="217"/>
      <c r="IM10" s="217"/>
      <c r="IN10" s="217"/>
      <c r="IO10" s="217"/>
      <c r="IP10" s="217"/>
      <c r="IQ10" s="217"/>
      <c r="IR10" s="217"/>
      <c r="IS10" s="217"/>
      <c r="IT10" s="217"/>
      <c r="IU10" s="217"/>
      <c r="IV10" s="217"/>
      <c r="IW10" s="217"/>
      <c r="IX10" s="217"/>
      <c r="IY10" s="217"/>
      <c r="IZ10" s="217"/>
      <c r="JA10" s="217"/>
      <c r="JB10" s="217"/>
      <c r="JC10" s="217"/>
      <c r="JD10" s="217"/>
      <c r="JE10" s="217"/>
      <c r="JF10" s="217"/>
      <c r="JG10" s="217"/>
      <c r="JH10" s="217"/>
      <c r="JI10" s="217"/>
      <c r="JJ10" s="217"/>
      <c r="JK10" s="217"/>
      <c r="JL10" s="217"/>
      <c r="JM10" s="217"/>
      <c r="JN10" s="217"/>
      <c r="JO10" s="217"/>
      <c r="JP10" s="217"/>
      <c r="JQ10" s="217"/>
      <c r="JR10" s="217"/>
      <c r="JS10" s="217"/>
      <c r="JT10" s="217"/>
      <c r="JU10" s="217"/>
      <c r="JV10" s="217"/>
      <c r="JW10" s="217"/>
      <c r="JX10" s="217"/>
      <c r="JY10" s="217"/>
      <c r="JZ10" s="217"/>
      <c r="KA10" s="217"/>
      <c r="KB10" s="217"/>
      <c r="KC10" s="217"/>
      <c r="KD10" s="217"/>
      <c r="KE10" s="217"/>
      <c r="KF10" s="217"/>
      <c r="KG10" s="217"/>
      <c r="KH10" s="217"/>
      <c r="KI10" s="217"/>
      <c r="KJ10" s="217"/>
      <c r="KK10" s="217"/>
      <c r="KL10" s="217"/>
      <c r="KM10" s="217"/>
      <c r="KN10" s="217"/>
      <c r="KO10" s="217"/>
      <c r="KP10" s="217"/>
      <c r="KQ10" s="217"/>
      <c r="KR10" s="217"/>
      <c r="KS10" s="217"/>
      <c r="KT10" s="217"/>
      <c r="KU10" s="217"/>
      <c r="KV10" s="217"/>
      <c r="KW10" s="217"/>
      <c r="KX10" s="217"/>
      <c r="KY10" s="217"/>
      <c r="KZ10" s="217"/>
      <c r="LA10" s="217"/>
      <c r="LB10" s="217"/>
      <c r="LC10" s="217"/>
      <c r="LD10" s="217"/>
      <c r="LE10" s="217"/>
      <c r="LF10" s="217"/>
      <c r="LG10" s="217"/>
      <c r="LH10" s="217"/>
      <c r="LI10" s="217"/>
      <c r="LJ10" s="217"/>
      <c r="LK10" s="217"/>
      <c r="LL10" s="217"/>
      <c r="LM10" s="217"/>
      <c r="LN10" s="217"/>
      <c r="LO10" s="217"/>
      <c r="LP10" s="217"/>
      <c r="LQ10" s="217"/>
      <c r="LR10" s="217"/>
      <c r="LS10" s="217"/>
      <c r="LT10" s="217"/>
      <c r="LU10" s="217"/>
      <c r="LV10" s="217"/>
      <c r="LW10" s="217"/>
      <c r="LX10" s="217"/>
      <c r="LY10" s="217"/>
      <c r="LZ10" s="217"/>
      <c r="MA10" s="217"/>
      <c r="MB10" s="217"/>
      <c r="MC10" s="217"/>
      <c r="MD10" s="217"/>
      <c r="ME10" s="217"/>
      <c r="MF10" s="217"/>
      <c r="MG10" s="217"/>
      <c r="MH10" s="217"/>
      <c r="MI10" s="217"/>
      <c r="MJ10" s="217"/>
      <c r="MK10" s="217"/>
      <c r="ML10" s="217"/>
      <c r="MM10" s="217"/>
      <c r="MN10" s="217"/>
      <c r="MO10" s="217"/>
      <c r="MP10" s="217"/>
      <c r="MQ10" s="217"/>
      <c r="MR10" s="217"/>
      <c r="MS10" s="217"/>
      <c r="MT10" s="217"/>
      <c r="MU10" s="217"/>
      <c r="MV10" s="217"/>
      <c r="MW10" s="217"/>
      <c r="MX10" s="217"/>
      <c r="MY10" s="217"/>
      <c r="MZ10" s="217"/>
      <c r="NA10" s="217"/>
      <c r="NB10" s="217"/>
      <c r="NC10" s="217"/>
      <c r="ND10" s="217"/>
      <c r="NE10" s="217"/>
      <c r="NF10" s="217"/>
      <c r="NG10" s="217"/>
      <c r="NH10" s="217"/>
      <c r="NI10" s="217"/>
      <c r="NJ10" s="217"/>
      <c r="NK10" s="217"/>
      <c r="NL10" s="217"/>
      <c r="NM10" s="217"/>
      <c r="NN10" s="217"/>
      <c r="NO10" s="217"/>
      <c r="NP10" s="217"/>
      <c r="NQ10" s="217"/>
      <c r="NR10" s="217"/>
      <c r="NS10" s="217"/>
      <c r="NT10" s="217"/>
      <c r="NU10" s="217"/>
      <c r="NV10" s="217"/>
      <c r="NW10" s="217"/>
      <c r="NX10" s="217"/>
      <c r="NY10" s="217"/>
      <c r="NZ10" s="217"/>
      <c r="OA10" s="217"/>
      <c r="OB10" s="217"/>
      <c r="OC10" s="217"/>
      <c r="OD10" s="217"/>
      <c r="OE10" s="217"/>
      <c r="OF10" s="217"/>
      <c r="OG10" s="217"/>
      <c r="OH10" s="217"/>
      <c r="OI10" s="217"/>
      <c r="OJ10" s="217"/>
      <c r="OK10" s="217"/>
      <c r="OL10" s="217"/>
      <c r="OM10" s="217"/>
      <c r="ON10" s="217"/>
      <c r="OO10" s="217"/>
      <c r="OP10" s="217"/>
      <c r="OQ10" s="217"/>
      <c r="OR10" s="217"/>
      <c r="OS10" s="217"/>
      <c r="OT10" s="217"/>
      <c r="OU10" s="217"/>
      <c r="OV10" s="217"/>
      <c r="OW10" s="217"/>
      <c r="OX10" s="217"/>
      <c r="OY10" s="217"/>
      <c r="OZ10" s="217"/>
      <c r="PA10" s="217"/>
      <c r="PB10" s="217"/>
      <c r="PC10" s="217"/>
      <c r="PD10" s="217"/>
      <c r="PE10" s="217"/>
      <c r="PF10" s="217"/>
      <c r="PG10" s="217"/>
      <c r="PH10" s="217"/>
      <c r="PI10" s="217"/>
      <c r="PJ10" s="217"/>
      <c r="PK10" s="217"/>
      <c r="PL10" s="217"/>
      <c r="PM10" s="217"/>
      <c r="PN10" s="217"/>
      <c r="PO10" s="217"/>
      <c r="PP10" s="217"/>
      <c r="PQ10" s="217"/>
      <c r="PR10" s="217"/>
      <c r="PS10" s="217"/>
      <c r="PT10" s="217"/>
      <c r="PU10" s="217"/>
      <c r="PV10" s="217"/>
      <c r="PW10" s="217"/>
      <c r="PX10" s="217"/>
      <c r="PY10" s="217"/>
      <c r="PZ10" s="217"/>
      <c r="QA10" s="217"/>
      <c r="QB10" s="217"/>
      <c r="QC10" s="217"/>
      <c r="QD10" s="217"/>
      <c r="QE10" s="217"/>
      <c r="QF10" s="217"/>
      <c r="QG10" s="217"/>
      <c r="QH10" s="217"/>
      <c r="QI10" s="217"/>
      <c r="QJ10" s="217"/>
      <c r="QK10" s="217"/>
      <c r="QL10" s="217"/>
      <c r="QM10" s="217"/>
      <c r="QN10" s="217"/>
      <c r="QO10" s="217"/>
      <c r="QP10" s="217"/>
      <c r="QQ10" s="217"/>
      <c r="QR10" s="217"/>
      <c r="QS10" s="217"/>
      <c r="QT10" s="217"/>
      <c r="QU10" s="217"/>
      <c r="QV10" s="217"/>
      <c r="QW10" s="217"/>
      <c r="QX10" s="217"/>
      <c r="QY10" s="217"/>
      <c r="QZ10" s="217"/>
      <c r="RA10" s="217"/>
      <c r="RB10" s="217"/>
      <c r="RC10" s="217"/>
      <c r="RD10" s="217"/>
      <c r="RE10" s="217"/>
      <c r="RF10" s="217"/>
      <c r="RG10" s="217"/>
      <c r="RH10" s="217"/>
      <c r="RI10" s="217"/>
      <c r="RJ10" s="217"/>
      <c r="RK10" s="217"/>
      <c r="RL10" s="217"/>
      <c r="RM10" s="217"/>
      <c r="RN10" s="217"/>
      <c r="RO10" s="217"/>
      <c r="RP10" s="217"/>
      <c r="RQ10" s="217"/>
      <c r="RR10" s="217"/>
      <c r="RS10" s="217"/>
      <c r="RT10" s="217"/>
      <c r="RU10" s="217"/>
      <c r="RV10" s="217"/>
      <c r="RW10" s="217"/>
      <c r="RX10" s="217"/>
      <c r="RY10" s="217"/>
      <c r="RZ10" s="217"/>
      <c r="SA10" s="217"/>
      <c r="SB10" s="217"/>
      <c r="SC10" s="217"/>
      <c r="SD10" s="217"/>
      <c r="SE10" s="217"/>
      <c r="SF10" s="217"/>
      <c r="SG10" s="217"/>
      <c r="SH10" s="217"/>
      <c r="SI10" s="217"/>
      <c r="SJ10" s="217"/>
      <c r="SK10" s="217"/>
      <c r="SL10" s="217"/>
      <c r="SM10" s="217"/>
      <c r="SN10" s="217"/>
      <c r="SO10" s="217"/>
      <c r="SP10" s="217"/>
      <c r="SQ10" s="217"/>
      <c r="SR10" s="217"/>
      <c r="SS10" s="217"/>
      <c r="ST10" s="217"/>
      <c r="SU10" s="217"/>
      <c r="SV10" s="217"/>
      <c r="SW10" s="217"/>
      <c r="SX10" s="217"/>
      <c r="SY10" s="217"/>
      <c r="SZ10" s="217"/>
      <c r="TA10" s="217"/>
      <c r="TB10" s="217"/>
      <c r="TC10" s="217"/>
      <c r="TD10" s="217"/>
      <c r="TE10" s="217"/>
      <c r="TF10" s="217"/>
      <c r="TG10" s="217"/>
      <c r="TH10" s="217"/>
      <c r="TI10" s="217"/>
      <c r="TJ10" s="217"/>
      <c r="TK10" s="217"/>
      <c r="TL10" s="217"/>
      <c r="TM10" s="217"/>
      <c r="TN10" s="217"/>
      <c r="TO10" s="217"/>
      <c r="TP10" s="217"/>
      <c r="TQ10" s="217"/>
      <c r="TR10" s="217"/>
      <c r="TS10" s="217"/>
      <c r="TT10" s="217"/>
      <c r="TU10" s="217"/>
      <c r="TV10" s="217"/>
      <c r="TW10" s="217"/>
      <c r="TX10" s="217"/>
      <c r="TY10" s="217"/>
      <c r="TZ10" s="217"/>
      <c r="UA10" s="217"/>
      <c r="UB10" s="217"/>
      <c r="UC10" s="217"/>
      <c r="UD10" s="217"/>
      <c r="UE10" s="217"/>
      <c r="UF10" s="217"/>
      <c r="UG10" s="217"/>
      <c r="UH10" s="217"/>
      <c r="UI10" s="217"/>
      <c r="UJ10" s="217"/>
      <c r="UK10" s="217"/>
      <c r="UL10" s="217"/>
      <c r="UM10" s="217"/>
      <c r="UN10" s="217"/>
      <c r="UO10" s="217"/>
      <c r="UP10" s="217"/>
      <c r="UQ10" s="217"/>
      <c r="UR10" s="217"/>
      <c r="US10" s="217"/>
      <c r="UT10" s="217"/>
      <c r="UU10" s="217"/>
      <c r="UV10" s="217"/>
      <c r="UW10" s="217"/>
      <c r="UX10" s="217"/>
      <c r="UY10" s="217"/>
      <c r="UZ10" s="217"/>
      <c r="VA10" s="217"/>
      <c r="VB10" s="217"/>
      <c r="VC10" s="217"/>
      <c r="VD10" s="217"/>
      <c r="VE10" s="217"/>
      <c r="VF10" s="217"/>
      <c r="VG10" s="217"/>
      <c r="VH10" s="217"/>
      <c r="VI10" s="217"/>
      <c r="VJ10" s="217"/>
      <c r="VK10" s="217"/>
      <c r="VL10" s="217"/>
      <c r="VM10" s="217"/>
      <c r="VN10" s="217"/>
      <c r="VO10" s="217"/>
      <c r="VP10" s="217"/>
      <c r="VQ10" s="217"/>
      <c r="VR10" s="217"/>
      <c r="VS10" s="217"/>
      <c r="VT10" s="217"/>
      <c r="VU10" s="217"/>
      <c r="VV10" s="217"/>
      <c r="VW10" s="217"/>
      <c r="VX10" s="217"/>
      <c r="VY10" s="217"/>
      <c r="VZ10" s="217"/>
      <c r="WA10" s="217"/>
      <c r="WB10" s="217"/>
      <c r="WC10" s="217"/>
      <c r="WD10" s="217"/>
      <c r="WE10" s="217"/>
      <c r="WF10" s="217"/>
      <c r="WG10" s="217"/>
      <c r="WH10" s="217"/>
      <c r="WI10" s="217"/>
      <c r="WJ10" s="217"/>
      <c r="WK10" s="217"/>
      <c r="WL10" s="217"/>
      <c r="WM10" s="217"/>
      <c r="WN10" s="217"/>
      <c r="WO10" s="217"/>
      <c r="WP10" s="217"/>
      <c r="WQ10" s="217"/>
      <c r="WR10" s="217"/>
      <c r="WS10" s="217"/>
      <c r="WT10" s="217"/>
      <c r="WU10" s="217"/>
      <c r="WV10" s="217"/>
      <c r="WW10" s="217"/>
      <c r="WX10" s="217"/>
      <c r="WY10" s="217"/>
      <c r="WZ10" s="217"/>
      <c r="XA10" s="217"/>
      <c r="XB10" s="217"/>
      <c r="XC10" s="217"/>
      <c r="XD10" s="217"/>
      <c r="XE10" s="217"/>
      <c r="XF10" s="217"/>
      <c r="XG10" s="217"/>
      <c r="XH10" s="217"/>
      <c r="XI10" s="217"/>
      <c r="XJ10" s="217"/>
      <c r="XK10" s="217"/>
      <c r="XL10" s="217"/>
      <c r="XM10" s="217"/>
      <c r="XN10" s="217"/>
      <c r="XO10" s="217"/>
      <c r="XP10" s="217"/>
      <c r="XQ10" s="217"/>
      <c r="XR10" s="217"/>
      <c r="XS10" s="217"/>
      <c r="XT10" s="217"/>
      <c r="XU10" s="217"/>
      <c r="XV10" s="217"/>
      <c r="XW10" s="217"/>
      <c r="XX10" s="217"/>
      <c r="XY10" s="217"/>
      <c r="XZ10" s="217"/>
      <c r="YA10" s="217"/>
      <c r="YB10" s="217"/>
      <c r="YC10" s="217"/>
      <c r="YD10" s="217"/>
      <c r="YE10" s="217"/>
      <c r="YF10" s="217"/>
      <c r="YG10" s="217"/>
      <c r="YH10" s="217"/>
      <c r="YI10" s="217"/>
      <c r="YJ10" s="217"/>
      <c r="YK10" s="217"/>
      <c r="YL10" s="217"/>
      <c r="YM10" s="217"/>
      <c r="YN10" s="217"/>
      <c r="YO10" s="217"/>
      <c r="YP10" s="217"/>
      <c r="YQ10" s="217"/>
      <c r="YR10" s="217"/>
      <c r="YS10" s="217"/>
      <c r="YT10" s="217"/>
      <c r="YU10" s="217"/>
      <c r="YV10" s="217"/>
      <c r="YW10" s="217"/>
      <c r="YX10" s="217"/>
      <c r="YY10" s="217"/>
      <c r="YZ10" s="217"/>
      <c r="ZA10" s="217"/>
      <c r="ZB10" s="217"/>
      <c r="ZC10" s="217"/>
      <c r="ZD10" s="217"/>
      <c r="ZE10" s="217"/>
      <c r="ZF10" s="217"/>
      <c r="ZG10" s="217"/>
      <c r="ZH10" s="217"/>
      <c r="ZI10" s="217"/>
      <c r="ZJ10" s="217"/>
      <c r="ZK10" s="217"/>
      <c r="ZL10" s="217"/>
      <c r="ZM10" s="217"/>
      <c r="ZN10" s="217"/>
      <c r="ZO10" s="217"/>
      <c r="ZP10" s="217"/>
      <c r="ZQ10" s="217"/>
      <c r="ZR10" s="217"/>
      <c r="ZS10" s="217"/>
      <c r="ZT10" s="217"/>
      <c r="ZU10" s="217"/>
      <c r="ZV10" s="217"/>
      <c r="ZW10" s="217"/>
      <c r="ZX10" s="217"/>
      <c r="ZY10" s="217"/>
      <c r="ZZ10" s="217"/>
      <c r="AAA10" s="217"/>
      <c r="AAB10" s="217"/>
      <c r="AAC10" s="217"/>
      <c r="AAD10" s="217"/>
      <c r="AAE10" s="217"/>
      <c r="AAF10" s="217"/>
      <c r="AAG10" s="217"/>
      <c r="AAH10" s="217"/>
      <c r="AAI10" s="217"/>
      <c r="AAJ10" s="217"/>
      <c r="AAK10" s="217"/>
      <c r="AAL10" s="217"/>
      <c r="AAM10" s="217"/>
      <c r="AAN10" s="217"/>
      <c r="AAO10" s="217"/>
      <c r="AAP10" s="217"/>
      <c r="AAQ10" s="217"/>
      <c r="AAR10" s="217"/>
      <c r="AAS10" s="217"/>
      <c r="AAT10" s="217"/>
      <c r="AAU10" s="217"/>
      <c r="AAV10" s="217"/>
      <c r="AAW10" s="217"/>
      <c r="AAX10" s="217"/>
      <c r="AAY10" s="217"/>
      <c r="AAZ10" s="217"/>
      <c r="ABA10" s="217"/>
      <c r="ABB10" s="217"/>
      <c r="ABC10" s="217"/>
      <c r="ABD10" s="217"/>
      <c r="ABE10" s="217"/>
      <c r="ABF10" s="217"/>
      <c r="ABG10" s="217"/>
      <c r="ABH10" s="217"/>
      <c r="ABI10" s="217"/>
      <c r="ABJ10" s="217"/>
      <c r="ABK10" s="217"/>
      <c r="ABL10" s="217"/>
      <c r="ABM10" s="217"/>
      <c r="ABN10" s="217"/>
      <c r="ABO10" s="217"/>
      <c r="ABP10" s="217"/>
      <c r="ABQ10" s="217"/>
      <c r="ABR10" s="217"/>
      <c r="ABS10" s="217"/>
      <c r="ABT10" s="217"/>
      <c r="ABU10" s="217"/>
      <c r="ABV10" s="217"/>
      <c r="ABW10" s="217"/>
      <c r="ABX10" s="217"/>
      <c r="ABY10" s="217"/>
      <c r="ABZ10" s="217"/>
      <c r="ACA10" s="217"/>
      <c r="ACB10" s="217"/>
      <c r="ACC10" s="217"/>
      <c r="ACD10" s="217"/>
      <c r="ACE10" s="217"/>
      <c r="ACF10" s="217"/>
      <c r="ACG10" s="217"/>
      <c r="ACH10" s="217"/>
      <c r="ACI10" s="217"/>
      <c r="ACJ10" s="217"/>
      <c r="ACK10" s="217"/>
      <c r="ACL10" s="217"/>
      <c r="ACM10" s="217"/>
      <c r="ACN10" s="217"/>
      <c r="ACO10" s="217"/>
      <c r="ACP10" s="217"/>
      <c r="ACQ10" s="217"/>
      <c r="ACR10" s="217"/>
      <c r="ACS10" s="217"/>
      <c r="ACT10" s="217"/>
      <c r="ACU10" s="217"/>
      <c r="ACV10" s="217"/>
      <c r="ACW10" s="217"/>
      <c r="ACX10" s="217"/>
      <c r="ACY10" s="217"/>
      <c r="ACZ10" s="217"/>
      <c r="ADA10" s="217"/>
      <c r="ADB10" s="217"/>
      <c r="ADC10" s="217"/>
      <c r="ADD10" s="217"/>
      <c r="ADE10" s="217"/>
      <c r="ADF10" s="217"/>
      <c r="ADG10" s="217"/>
      <c r="ADH10" s="217"/>
      <c r="ADI10" s="217"/>
      <c r="ADJ10" s="217"/>
      <c r="ADK10" s="217"/>
      <c r="ADL10" s="217"/>
      <c r="ADM10" s="217"/>
      <c r="ADN10" s="217"/>
      <c r="ADO10" s="217"/>
      <c r="ADP10" s="217"/>
      <c r="ADQ10" s="217"/>
      <c r="ADR10" s="217"/>
      <c r="ADS10" s="217"/>
      <c r="ADT10" s="217"/>
      <c r="ADU10" s="217"/>
      <c r="ADV10" s="217"/>
      <c r="ADW10" s="217"/>
      <c r="ADX10" s="217"/>
      <c r="ADY10" s="217"/>
      <c r="ADZ10" s="217"/>
      <c r="AEA10" s="217"/>
      <c r="AEB10" s="217"/>
      <c r="AEC10" s="217"/>
      <c r="AED10" s="217"/>
      <c r="AEE10" s="217"/>
      <c r="AEF10" s="217"/>
      <c r="AEG10" s="217"/>
      <c r="AEH10" s="217"/>
      <c r="AEI10" s="217"/>
      <c r="AEJ10" s="217"/>
      <c r="AEK10" s="217"/>
      <c r="AEL10" s="217"/>
      <c r="AEM10" s="217"/>
      <c r="AEN10" s="217"/>
      <c r="AEO10" s="217"/>
      <c r="AEP10" s="217"/>
      <c r="AEQ10" s="217"/>
      <c r="AER10" s="217"/>
      <c r="AES10" s="217"/>
      <c r="AET10" s="217"/>
      <c r="AEU10" s="217"/>
      <c r="AEV10" s="217"/>
      <c r="AEW10" s="217"/>
      <c r="AEX10" s="217"/>
      <c r="AEY10" s="217"/>
      <c r="AEZ10" s="217"/>
      <c r="AFA10" s="217"/>
      <c r="AFB10" s="217"/>
      <c r="AFC10" s="217"/>
      <c r="AFD10" s="217"/>
      <c r="AFE10" s="217"/>
      <c r="AFF10" s="217"/>
      <c r="AFG10" s="217"/>
      <c r="AFH10" s="217"/>
      <c r="AFI10" s="217"/>
      <c r="AFJ10" s="217"/>
      <c r="AFK10" s="217"/>
      <c r="AFL10" s="217"/>
      <c r="AFM10" s="217"/>
      <c r="AFN10" s="217"/>
      <c r="AFO10" s="217"/>
      <c r="AFP10" s="217"/>
      <c r="AFQ10" s="217"/>
      <c r="AFR10" s="217"/>
      <c r="AFS10" s="217"/>
      <c r="AFT10" s="217"/>
      <c r="AFU10" s="217"/>
      <c r="AFV10" s="217"/>
      <c r="AFW10" s="217"/>
      <c r="AFX10" s="217"/>
      <c r="AFY10" s="217"/>
      <c r="AFZ10" s="217"/>
      <c r="AGA10" s="217"/>
      <c r="AGB10" s="217"/>
      <c r="AGC10" s="217"/>
      <c r="AGD10" s="217"/>
      <c r="AGE10" s="217"/>
      <c r="AGF10" s="217"/>
      <c r="AGG10" s="217"/>
      <c r="AGH10" s="217"/>
      <c r="AGI10" s="217"/>
      <c r="AGJ10" s="217"/>
      <c r="AGK10" s="217"/>
      <c r="AGL10" s="217"/>
      <c r="AGM10" s="217"/>
      <c r="AGN10" s="217"/>
      <c r="AGO10" s="217"/>
      <c r="AGP10" s="217"/>
      <c r="AGQ10" s="217"/>
      <c r="AGR10" s="217"/>
      <c r="AGS10" s="217"/>
      <c r="AGT10" s="217"/>
      <c r="AGU10" s="217"/>
      <c r="AGV10" s="217"/>
      <c r="AGW10" s="217"/>
      <c r="AGX10" s="217"/>
      <c r="AGY10" s="217"/>
      <c r="AGZ10" s="217"/>
      <c r="AHA10" s="217"/>
      <c r="AHB10" s="217"/>
      <c r="AHC10" s="217"/>
      <c r="AHD10" s="217"/>
      <c r="AHE10" s="217"/>
      <c r="AHF10" s="217"/>
      <c r="AHG10" s="217"/>
      <c r="AHH10" s="217"/>
      <c r="AHI10" s="217"/>
      <c r="AHJ10" s="217"/>
      <c r="AHK10" s="217"/>
      <c r="AHL10" s="217"/>
      <c r="AHM10" s="217"/>
      <c r="AHN10" s="217"/>
      <c r="AHO10" s="217"/>
      <c r="AHP10" s="217"/>
      <c r="AHQ10" s="217"/>
      <c r="AHR10" s="217"/>
      <c r="AHS10" s="217"/>
      <c r="AHT10" s="217"/>
      <c r="AHU10" s="217"/>
      <c r="AHV10" s="217"/>
      <c r="AHW10" s="217"/>
      <c r="AHX10" s="217"/>
      <c r="AHY10" s="217"/>
      <c r="AHZ10" s="217"/>
      <c r="AIA10" s="217"/>
      <c r="AIB10" s="217"/>
      <c r="AIC10" s="217"/>
      <c r="AID10" s="217"/>
      <c r="AIE10" s="217"/>
      <c r="AIF10" s="217"/>
      <c r="AIG10" s="217"/>
      <c r="AIH10" s="217"/>
      <c r="AII10" s="217"/>
      <c r="AIJ10" s="217"/>
      <c r="AIK10" s="217"/>
      <c r="AIL10" s="217"/>
      <c r="AIM10" s="217"/>
      <c r="AIN10" s="217"/>
      <c r="AIO10" s="217"/>
      <c r="AIP10" s="217"/>
      <c r="AIQ10" s="217"/>
      <c r="AIR10" s="217"/>
      <c r="AIS10" s="217"/>
      <c r="AIT10" s="217"/>
      <c r="AIU10" s="217"/>
      <c r="AIV10" s="217"/>
      <c r="AIW10" s="217"/>
      <c r="AIX10" s="217"/>
      <c r="AIY10" s="217"/>
      <c r="AIZ10" s="217"/>
      <c r="AJA10" s="217"/>
      <c r="AJB10" s="217"/>
      <c r="AJC10" s="217"/>
      <c r="AJD10" s="217"/>
      <c r="AJE10" s="217"/>
      <c r="AJF10" s="217"/>
      <c r="AJG10" s="217"/>
      <c r="AJH10" s="217"/>
      <c r="AJI10" s="217"/>
      <c r="AJJ10" s="217"/>
      <c r="AJK10" s="217"/>
      <c r="AJL10" s="217"/>
      <c r="AJM10" s="217"/>
      <c r="AJN10" s="217"/>
      <c r="AJO10" s="217"/>
      <c r="AJP10" s="217"/>
      <c r="AJQ10" s="217"/>
      <c r="AJR10" s="217"/>
      <c r="AJS10" s="217"/>
      <c r="AJT10" s="217"/>
      <c r="AJU10" s="217"/>
      <c r="AJV10" s="217"/>
      <c r="AJW10" s="217"/>
      <c r="AJX10" s="217"/>
      <c r="AJY10" s="217"/>
      <c r="AJZ10" s="217"/>
      <c r="AKA10" s="217"/>
      <c r="AKB10" s="217"/>
      <c r="AKC10" s="217"/>
      <c r="AKD10" s="217"/>
      <c r="AKE10" s="217"/>
      <c r="AKF10" s="217"/>
      <c r="AKG10" s="217"/>
      <c r="AKH10" s="217"/>
      <c r="AKI10" s="217"/>
      <c r="AKJ10" s="217"/>
      <c r="AKK10" s="217"/>
      <c r="AKL10" s="217"/>
      <c r="AKM10" s="217"/>
      <c r="AKN10" s="217"/>
      <c r="AKO10" s="217"/>
      <c r="AKP10" s="217"/>
      <c r="AKQ10" s="217"/>
      <c r="AKR10" s="217"/>
      <c r="AKS10" s="217"/>
      <c r="AKT10" s="217"/>
      <c r="AKU10" s="217"/>
      <c r="AKV10" s="217"/>
      <c r="AKW10" s="217"/>
      <c r="AKX10" s="217"/>
      <c r="AKY10" s="217"/>
      <c r="AKZ10" s="217"/>
      <c r="ALA10" s="217"/>
      <c r="ALB10" s="217"/>
      <c r="ALC10" s="217"/>
      <c r="ALD10" s="217"/>
      <c r="ALE10" s="217"/>
      <c r="ALF10" s="217"/>
      <c r="ALG10" s="217"/>
      <c r="ALH10" s="217"/>
      <c r="ALI10" s="217"/>
      <c r="ALJ10" s="217"/>
      <c r="ALK10" s="217"/>
      <c r="ALL10" s="217"/>
      <c r="ALM10" s="217"/>
      <c r="ALN10" s="217"/>
      <c r="ALO10" s="217"/>
      <c r="ALP10" s="217"/>
      <c r="ALQ10" s="217"/>
      <c r="ALR10" s="217"/>
      <c r="ALS10" s="217"/>
      <c r="ALT10" s="217"/>
      <c r="ALU10" s="217"/>
      <c r="ALV10" s="217"/>
      <c r="ALW10" s="217"/>
      <c r="ALX10" s="217"/>
      <c r="ALY10" s="217"/>
      <c r="ALZ10" s="217"/>
      <c r="AMA10" s="217"/>
      <c r="AMB10" s="217"/>
      <c r="AMC10" s="217"/>
      <c r="AMD10" s="217"/>
      <c r="AME10" s="217"/>
      <c r="AMF10" s="217"/>
      <c r="AMG10" s="217"/>
      <c r="AMH10" s="217"/>
      <c r="AMI10" s="217"/>
      <c r="AMJ10" s="217"/>
      <c r="AMK10" s="217"/>
      <c r="AML10" s="217"/>
      <c r="AMM10" s="217"/>
      <c r="AMN10" s="217"/>
      <c r="AMO10" s="217"/>
      <c r="AMP10" s="217"/>
      <c r="AMQ10" s="217"/>
      <c r="AMR10" s="217"/>
      <c r="AMS10" s="217"/>
      <c r="AMT10" s="217"/>
      <c r="AMU10" s="217"/>
      <c r="AMV10" s="217"/>
      <c r="AMW10" s="217"/>
      <c r="AMX10" s="217"/>
      <c r="AMY10" s="217"/>
      <c r="AMZ10" s="217"/>
      <c r="ANA10" s="217"/>
      <c r="ANB10" s="217"/>
      <c r="ANC10" s="217"/>
      <c r="AND10" s="217"/>
      <c r="ANE10" s="217"/>
      <c r="ANF10" s="217"/>
      <c r="ANG10" s="217"/>
      <c r="ANH10" s="217"/>
      <c r="ANI10" s="217"/>
      <c r="ANJ10" s="217"/>
      <c r="ANK10" s="217"/>
      <c r="ANL10" s="217"/>
      <c r="ANM10" s="217"/>
      <c r="ANN10" s="217"/>
      <c r="ANO10" s="217"/>
      <c r="ANP10" s="217"/>
      <c r="ANQ10" s="217"/>
      <c r="ANR10" s="217"/>
      <c r="ANS10" s="217"/>
      <c r="ANT10" s="217"/>
      <c r="ANU10" s="217"/>
      <c r="ANV10" s="217"/>
      <c r="ANW10" s="217"/>
      <c r="ANX10" s="217"/>
      <c r="ANY10" s="217"/>
      <c r="ANZ10" s="217"/>
      <c r="AOA10" s="217"/>
      <c r="AOB10" s="217"/>
      <c r="AOC10" s="217"/>
      <c r="AOD10" s="217"/>
      <c r="AOE10" s="217"/>
      <c r="AOF10" s="217"/>
      <c r="AOG10" s="217"/>
      <c r="AOH10" s="217"/>
      <c r="AOI10" s="217"/>
      <c r="AOJ10" s="217"/>
      <c r="AOK10" s="217"/>
      <c r="AOL10" s="217"/>
      <c r="AOM10" s="217"/>
      <c r="AON10" s="217"/>
      <c r="AOO10" s="217"/>
      <c r="AOP10" s="217"/>
      <c r="AOQ10" s="217"/>
      <c r="AOR10" s="217"/>
      <c r="AOS10" s="217"/>
      <c r="AOT10" s="217"/>
      <c r="AOU10" s="217"/>
      <c r="AOV10" s="217"/>
      <c r="AOW10" s="217"/>
      <c r="AOX10" s="217"/>
      <c r="AOY10" s="217"/>
      <c r="AOZ10" s="217"/>
      <c r="APA10" s="217"/>
      <c r="APB10" s="217"/>
      <c r="APC10" s="217"/>
      <c r="APD10" s="217"/>
      <c r="APE10" s="217"/>
      <c r="APF10" s="217"/>
      <c r="APG10" s="217"/>
      <c r="APH10" s="217"/>
      <c r="API10" s="217"/>
      <c r="APJ10" s="217"/>
      <c r="APK10" s="217"/>
      <c r="APL10" s="217"/>
      <c r="APM10" s="217"/>
      <c r="APN10" s="217"/>
      <c r="APO10" s="217"/>
      <c r="APP10" s="217"/>
      <c r="APQ10" s="217"/>
      <c r="APR10" s="217"/>
      <c r="APS10" s="217"/>
      <c r="APT10" s="217"/>
      <c r="APU10" s="217"/>
      <c r="APV10" s="217"/>
      <c r="APW10" s="217"/>
      <c r="APX10" s="217"/>
      <c r="APY10" s="217"/>
      <c r="APZ10" s="217"/>
      <c r="AQA10" s="217"/>
      <c r="AQB10" s="217"/>
      <c r="AQC10" s="217"/>
      <c r="AQD10" s="217"/>
      <c r="AQE10" s="217"/>
      <c r="AQF10" s="217"/>
      <c r="AQG10" s="217"/>
      <c r="AQH10" s="217"/>
      <c r="AQI10" s="217"/>
      <c r="AQJ10" s="217"/>
      <c r="AQK10" s="217"/>
      <c r="AQL10" s="217"/>
      <c r="AQM10" s="217"/>
      <c r="AQN10" s="217"/>
      <c r="AQO10" s="217"/>
      <c r="AQP10" s="217"/>
      <c r="AQQ10" s="217"/>
      <c r="AQR10" s="217"/>
      <c r="AQS10" s="217"/>
      <c r="AQT10" s="217"/>
      <c r="AQU10" s="217"/>
      <c r="AQV10" s="217"/>
      <c r="AQW10" s="217"/>
      <c r="AQX10" s="217"/>
      <c r="AQY10" s="217"/>
      <c r="AQZ10" s="217"/>
      <c r="ARA10" s="217"/>
      <c r="ARB10" s="217"/>
      <c r="ARC10" s="217"/>
      <c r="ARD10" s="217"/>
      <c r="ARE10" s="217"/>
      <c r="ARF10" s="217"/>
      <c r="ARG10" s="217"/>
      <c r="ARH10" s="217"/>
      <c r="ARI10" s="217"/>
      <c r="ARJ10" s="217"/>
      <c r="ARK10" s="217"/>
      <c r="ARL10" s="217"/>
      <c r="ARM10" s="217"/>
      <c r="ARN10" s="217"/>
      <c r="ARO10" s="217"/>
      <c r="ARP10" s="217"/>
      <c r="ARQ10" s="217"/>
      <c r="ARR10" s="217"/>
      <c r="ARS10" s="217"/>
      <c r="ART10" s="217"/>
      <c r="ARU10" s="217"/>
      <c r="ARV10" s="217"/>
      <c r="ARW10" s="217"/>
      <c r="ARX10" s="217"/>
      <c r="ARY10" s="217"/>
      <c r="ARZ10" s="217"/>
      <c r="ASA10" s="217"/>
      <c r="ASB10" s="217"/>
      <c r="ASC10" s="217"/>
      <c r="ASD10" s="217"/>
      <c r="ASE10" s="217"/>
      <c r="ASF10" s="217"/>
      <c r="ASG10" s="217"/>
      <c r="ASH10" s="217"/>
      <c r="ASI10" s="217"/>
      <c r="ASJ10" s="217"/>
      <c r="ASK10" s="217"/>
      <c r="ASL10" s="217"/>
      <c r="ASM10" s="217"/>
      <c r="ASN10" s="217"/>
      <c r="ASO10" s="217"/>
      <c r="ASP10" s="217"/>
      <c r="ASQ10" s="217"/>
      <c r="ASR10" s="217"/>
      <c r="ASS10" s="217"/>
      <c r="AST10" s="217"/>
      <c r="ASU10" s="217"/>
      <c r="ASV10" s="217"/>
      <c r="ASW10" s="217"/>
      <c r="ASX10" s="217"/>
      <c r="ASY10" s="217"/>
      <c r="ASZ10" s="217"/>
      <c r="ATA10" s="217"/>
      <c r="ATB10" s="217"/>
      <c r="ATC10" s="217"/>
      <c r="ATD10" s="217"/>
      <c r="ATE10" s="217"/>
      <c r="ATF10" s="217"/>
      <c r="ATG10" s="217"/>
      <c r="ATH10" s="217"/>
      <c r="ATI10" s="217"/>
      <c r="ATJ10" s="217"/>
      <c r="ATK10" s="217"/>
      <c r="ATL10" s="217"/>
      <c r="ATM10" s="217"/>
      <c r="ATN10" s="217"/>
      <c r="ATO10" s="217"/>
      <c r="ATP10" s="217"/>
      <c r="ATQ10" s="217"/>
      <c r="ATR10" s="217"/>
      <c r="ATS10" s="217"/>
      <c r="ATT10" s="217"/>
      <c r="ATU10" s="217"/>
      <c r="ATV10" s="217"/>
      <c r="ATW10" s="217"/>
      <c r="ATX10" s="217"/>
      <c r="ATY10" s="217"/>
      <c r="ATZ10" s="217"/>
      <c r="AUA10" s="217"/>
      <c r="AUB10" s="217"/>
      <c r="AUC10" s="217"/>
      <c r="AUD10" s="217"/>
      <c r="AUE10" s="217"/>
      <c r="AUF10" s="217"/>
      <c r="AUG10" s="217"/>
      <c r="AUH10" s="217"/>
      <c r="AUI10" s="217"/>
      <c r="AUJ10" s="217"/>
      <c r="AUK10" s="217"/>
      <c r="AUL10" s="217"/>
      <c r="AUM10" s="217"/>
      <c r="AUN10" s="217"/>
      <c r="AUO10" s="217"/>
      <c r="AUP10" s="217"/>
      <c r="AUQ10" s="217"/>
      <c r="AUR10" s="217"/>
      <c r="AUS10" s="217"/>
      <c r="AUT10" s="217"/>
      <c r="AUU10" s="217"/>
      <c r="AUV10" s="217"/>
      <c r="AUW10" s="217"/>
      <c r="AUX10" s="217"/>
      <c r="AUY10" s="217"/>
      <c r="AUZ10" s="217"/>
      <c r="AVA10" s="217"/>
      <c r="AVB10" s="217"/>
      <c r="AVC10" s="217"/>
      <c r="AVD10" s="217"/>
      <c r="AVE10" s="217"/>
      <c r="AVF10" s="217"/>
      <c r="AVG10" s="217"/>
      <c r="AVH10" s="217"/>
      <c r="AVI10" s="217"/>
      <c r="AVJ10" s="217"/>
      <c r="AVK10" s="217"/>
      <c r="AVL10" s="217"/>
      <c r="AVM10" s="217"/>
      <c r="AVN10" s="217"/>
      <c r="AVO10" s="217"/>
      <c r="AVP10" s="217"/>
      <c r="AVQ10" s="217"/>
      <c r="AVR10" s="217"/>
      <c r="AVS10" s="217"/>
      <c r="AVT10" s="217"/>
      <c r="AVU10" s="217"/>
      <c r="AVV10" s="217"/>
      <c r="AVW10" s="217"/>
      <c r="AVX10" s="217"/>
      <c r="AVY10" s="217"/>
      <c r="AVZ10" s="217"/>
      <c r="AWA10" s="217"/>
      <c r="AWB10" s="217"/>
      <c r="AWC10" s="217"/>
      <c r="AWD10" s="217"/>
      <c r="AWE10" s="217"/>
      <c r="AWF10" s="217"/>
      <c r="AWG10" s="217"/>
      <c r="AWH10" s="217"/>
      <c r="AWI10" s="217"/>
      <c r="AWJ10" s="217"/>
      <c r="AWK10" s="217"/>
      <c r="AWL10" s="217"/>
      <c r="AWM10" s="217"/>
      <c r="AWN10" s="217"/>
      <c r="AWO10" s="217"/>
      <c r="AWP10" s="217"/>
      <c r="AWQ10" s="217"/>
      <c r="AWR10" s="217"/>
      <c r="AWS10" s="217"/>
      <c r="AWT10" s="217"/>
      <c r="AWU10" s="217"/>
      <c r="AWV10" s="217"/>
      <c r="AWW10" s="217"/>
      <c r="AWX10" s="217"/>
      <c r="AWY10" s="217"/>
      <c r="AWZ10" s="217"/>
      <c r="AXA10" s="217"/>
      <c r="AXB10" s="217"/>
      <c r="AXC10" s="217"/>
      <c r="AXD10" s="217"/>
      <c r="AXE10" s="217"/>
      <c r="AXF10" s="217"/>
      <c r="AXG10" s="217"/>
      <c r="AXH10" s="217"/>
      <c r="AXI10" s="217"/>
      <c r="AXJ10" s="217"/>
      <c r="AXK10" s="217"/>
      <c r="AXL10" s="217"/>
      <c r="AXM10" s="217"/>
      <c r="AXN10" s="217"/>
      <c r="AXO10" s="217"/>
      <c r="AXP10" s="217"/>
      <c r="AXQ10" s="217"/>
      <c r="AXR10" s="217"/>
      <c r="AXS10" s="217"/>
      <c r="AXT10" s="217"/>
      <c r="AXU10" s="217"/>
      <c r="AXV10" s="217"/>
      <c r="AXW10" s="217"/>
      <c r="AXX10" s="217"/>
      <c r="AXY10" s="217"/>
      <c r="AXZ10" s="217"/>
      <c r="AYA10" s="217"/>
      <c r="AYB10" s="217"/>
      <c r="AYC10" s="217"/>
      <c r="AYD10" s="217"/>
      <c r="AYE10" s="217"/>
      <c r="AYF10" s="217"/>
      <c r="AYG10" s="217"/>
      <c r="AYH10" s="217"/>
      <c r="AYI10" s="217"/>
      <c r="AYJ10" s="217"/>
      <c r="AYK10" s="217"/>
      <c r="AYL10" s="217"/>
      <c r="AYM10" s="217"/>
      <c r="AYN10" s="217"/>
      <c r="AYO10" s="217"/>
      <c r="AYP10" s="217"/>
      <c r="AYQ10" s="217"/>
      <c r="AYR10" s="217"/>
      <c r="AYS10" s="217"/>
      <c r="AYT10" s="217"/>
      <c r="AYU10" s="217"/>
      <c r="AYV10" s="217"/>
      <c r="AYW10" s="217"/>
      <c r="AYX10" s="217"/>
      <c r="AYY10" s="217"/>
      <c r="AYZ10" s="217"/>
      <c r="AZA10" s="217"/>
      <c r="AZB10" s="217"/>
      <c r="AZC10" s="217"/>
      <c r="AZD10" s="217"/>
      <c r="AZE10" s="217"/>
      <c r="AZF10" s="217"/>
      <c r="AZG10" s="217"/>
      <c r="AZH10" s="217"/>
      <c r="AZI10" s="217"/>
      <c r="AZJ10" s="217"/>
      <c r="AZK10" s="217"/>
      <c r="AZL10" s="217"/>
      <c r="AZM10" s="217"/>
      <c r="AZN10" s="217"/>
      <c r="AZO10" s="217"/>
      <c r="AZP10" s="217"/>
      <c r="AZQ10" s="217"/>
      <c r="AZR10" s="217"/>
      <c r="AZS10" s="217"/>
      <c r="AZT10" s="217"/>
      <c r="AZU10" s="217"/>
      <c r="AZV10" s="217"/>
      <c r="AZW10" s="217"/>
      <c r="AZX10" s="217"/>
      <c r="AZY10" s="217"/>
      <c r="AZZ10" s="217"/>
      <c r="BAA10" s="217"/>
      <c r="BAB10" s="217"/>
      <c r="BAC10" s="217"/>
      <c r="BAD10" s="217"/>
      <c r="BAE10" s="217"/>
      <c r="BAF10" s="217"/>
      <c r="BAG10" s="217"/>
      <c r="BAH10" s="217"/>
      <c r="BAI10" s="217"/>
      <c r="BAJ10" s="217"/>
      <c r="BAK10" s="217"/>
      <c r="BAL10" s="217"/>
      <c r="BAM10" s="217"/>
      <c r="BAN10" s="217"/>
      <c r="BAO10" s="217"/>
      <c r="BAP10" s="217"/>
      <c r="BAQ10" s="217"/>
      <c r="BAR10" s="217"/>
      <c r="BAS10" s="217"/>
      <c r="BAT10" s="217"/>
      <c r="BAU10" s="217"/>
      <c r="BAV10" s="217"/>
      <c r="BAW10" s="217"/>
      <c r="BAX10" s="217"/>
      <c r="BAY10" s="217"/>
      <c r="BAZ10" s="217"/>
      <c r="BBA10" s="217"/>
      <c r="BBB10" s="217"/>
      <c r="BBC10" s="217"/>
      <c r="BBD10" s="217"/>
      <c r="BBE10" s="217"/>
      <c r="BBF10" s="217"/>
      <c r="BBG10" s="217"/>
      <c r="BBH10" s="217"/>
      <c r="BBI10" s="217"/>
      <c r="BBJ10" s="217"/>
      <c r="BBK10" s="217"/>
      <c r="BBL10" s="217"/>
      <c r="BBM10" s="217"/>
      <c r="BBN10" s="217"/>
      <c r="BBO10" s="217"/>
      <c r="BBP10" s="217"/>
      <c r="BBQ10" s="217"/>
      <c r="BBR10" s="217"/>
      <c r="BBS10" s="217"/>
      <c r="BBT10" s="217"/>
      <c r="BBU10" s="217"/>
      <c r="BBV10" s="217"/>
      <c r="BBW10" s="217"/>
      <c r="BBX10" s="217"/>
      <c r="BBY10" s="217"/>
      <c r="BBZ10" s="217"/>
      <c r="BCA10" s="217"/>
      <c r="BCB10" s="217"/>
      <c r="BCC10" s="217"/>
      <c r="BCD10" s="217"/>
      <c r="BCE10" s="217"/>
      <c r="BCF10" s="217"/>
      <c r="BCG10" s="217"/>
      <c r="BCH10" s="217"/>
      <c r="BCI10" s="217"/>
      <c r="BCJ10" s="217"/>
      <c r="BCK10" s="217"/>
      <c r="BCL10" s="217"/>
      <c r="BCM10" s="217"/>
      <c r="BCN10" s="217"/>
      <c r="BCO10" s="217"/>
      <c r="BCP10" s="217"/>
      <c r="BCQ10" s="217"/>
      <c r="BCR10" s="217"/>
      <c r="BCS10" s="217"/>
      <c r="BCT10" s="217"/>
      <c r="BCU10" s="217"/>
      <c r="BCV10" s="217"/>
      <c r="BCW10" s="217"/>
      <c r="BCX10" s="217"/>
      <c r="BCY10" s="217"/>
      <c r="BCZ10" s="217"/>
      <c r="BDA10" s="217"/>
      <c r="BDB10" s="217"/>
      <c r="BDC10" s="217"/>
      <c r="BDD10" s="217"/>
      <c r="BDE10" s="217"/>
      <c r="BDF10" s="217"/>
      <c r="BDG10" s="217"/>
      <c r="BDH10" s="217"/>
      <c r="BDI10" s="217"/>
      <c r="BDJ10" s="217"/>
      <c r="BDK10" s="217"/>
      <c r="BDL10" s="217"/>
      <c r="BDM10" s="217"/>
      <c r="BDN10" s="217"/>
      <c r="BDO10" s="217"/>
      <c r="BDP10" s="217"/>
      <c r="BDQ10" s="217"/>
      <c r="BDR10" s="217"/>
      <c r="BDS10" s="217"/>
      <c r="BDT10" s="217"/>
      <c r="BDU10" s="217"/>
      <c r="BDV10" s="217"/>
      <c r="BDW10" s="217"/>
      <c r="BDX10" s="217"/>
      <c r="BDY10" s="217"/>
      <c r="BDZ10" s="217"/>
      <c r="BEA10" s="217"/>
      <c r="BEB10" s="217"/>
      <c r="BEC10" s="217"/>
      <c r="BED10" s="217"/>
      <c r="BEE10" s="217"/>
      <c r="BEF10" s="217"/>
      <c r="BEG10" s="217"/>
      <c r="BEH10" s="217"/>
      <c r="BEI10" s="217"/>
      <c r="BEJ10" s="217"/>
      <c r="BEK10" s="217"/>
      <c r="BEL10" s="217"/>
      <c r="BEM10" s="217"/>
      <c r="BEN10" s="217"/>
      <c r="BEO10" s="217"/>
      <c r="BEP10" s="217"/>
      <c r="BEQ10" s="217"/>
      <c r="BER10" s="217"/>
      <c r="BES10" s="217"/>
      <c r="BET10" s="217"/>
      <c r="BEU10" s="217"/>
      <c r="BEV10" s="217"/>
      <c r="BEW10" s="217"/>
      <c r="BEX10" s="217"/>
      <c r="BEY10" s="217"/>
      <c r="BEZ10" s="217"/>
      <c r="BFA10" s="217"/>
      <c r="BFB10" s="217"/>
      <c r="BFC10" s="217"/>
      <c r="BFD10" s="217"/>
      <c r="BFE10" s="217"/>
      <c r="BFF10" s="217"/>
      <c r="BFG10" s="217"/>
      <c r="BFH10" s="217"/>
      <c r="BFI10" s="217"/>
      <c r="BFJ10" s="217"/>
      <c r="BFK10" s="217"/>
      <c r="BFL10" s="217"/>
      <c r="BFM10" s="217"/>
      <c r="BFN10" s="217"/>
      <c r="BFO10" s="217"/>
      <c r="BFP10" s="217"/>
      <c r="BFQ10" s="217"/>
      <c r="BFR10" s="217"/>
      <c r="BFS10" s="217"/>
      <c r="BFT10" s="217"/>
      <c r="BFU10" s="217"/>
      <c r="BFV10" s="217"/>
      <c r="BFW10" s="217"/>
      <c r="BFX10" s="217"/>
      <c r="BFY10" s="217"/>
      <c r="BFZ10" s="217"/>
      <c r="BGA10" s="217"/>
      <c r="BGB10" s="217"/>
      <c r="BGC10" s="217"/>
      <c r="BGD10" s="217"/>
      <c r="BGE10" s="217"/>
      <c r="BGF10" s="217"/>
      <c r="BGG10" s="217"/>
      <c r="BGH10" s="217"/>
      <c r="BGI10" s="217"/>
      <c r="BGJ10" s="217"/>
      <c r="BGK10" s="217"/>
      <c r="BGL10" s="217"/>
      <c r="BGM10" s="217"/>
      <c r="BGN10" s="217"/>
      <c r="BGO10" s="217"/>
      <c r="BGP10" s="217"/>
      <c r="BGQ10" s="217"/>
      <c r="BGR10" s="217"/>
      <c r="BGS10" s="217"/>
      <c r="BGT10" s="217"/>
      <c r="BGU10" s="217"/>
      <c r="BGV10" s="217"/>
      <c r="BGW10" s="217"/>
      <c r="BGX10" s="217"/>
      <c r="BGY10" s="217"/>
      <c r="BGZ10" s="217"/>
      <c r="BHA10" s="217"/>
      <c r="BHB10" s="217"/>
      <c r="BHC10" s="217"/>
      <c r="BHD10" s="217"/>
      <c r="BHE10" s="217"/>
      <c r="BHF10" s="90"/>
    </row>
    <row r="11" spans="1:1866" ht="20.100000000000001" customHeight="1" x14ac:dyDescent="0.25">
      <c r="B11" s="96"/>
      <c r="C11" s="209"/>
      <c r="D11" s="209"/>
      <c r="E11" s="209"/>
      <c r="F11" s="214" t="s">
        <v>43</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75</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36" t="s">
        <v>75</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74</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74</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87</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86</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86</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85</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84</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84</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83</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83</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82</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82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81</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81</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80</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79</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79</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78</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77</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77</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76</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76</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88</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90"/>
      <c r="BJN11" s="3" t="s">
        <v>43</v>
      </c>
      <c r="BLV11" s="3" t="s">
        <v>43</v>
      </c>
      <c r="BOD11" s="3" t="s">
        <v>43</v>
      </c>
      <c r="BQL11" s="3" t="s">
        <v>43</v>
      </c>
      <c r="BST11" s="3" t="s">
        <v>43</v>
      </c>
    </row>
    <row r="12" spans="1:1866" ht="15.75" customHeight="1" thickBot="1" x14ac:dyDescent="0.3">
      <c r="B12" s="97"/>
      <c r="C12" s="210"/>
      <c r="D12" s="210"/>
      <c r="E12" s="210"/>
      <c r="F12" s="213" t="s">
        <v>45</v>
      </c>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t="s">
        <v>46</v>
      </c>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237" t="s">
        <v>45</v>
      </c>
      <c r="DW12" s="237"/>
      <c r="DX12" s="237"/>
      <c r="DY12" s="237"/>
      <c r="DZ12" s="237"/>
      <c r="EA12" s="237"/>
      <c r="EB12" s="237"/>
      <c r="EC12" s="237"/>
      <c r="ED12" s="237"/>
      <c r="EE12" s="237"/>
      <c r="EF12" s="237"/>
      <c r="EG12" s="237"/>
      <c r="EH12" s="237"/>
      <c r="EI12" s="237"/>
      <c r="EJ12" s="237"/>
      <c r="EK12" s="237"/>
      <c r="EL12" s="237"/>
      <c r="EM12" s="237"/>
      <c r="EN12" s="237"/>
      <c r="EO12" s="237"/>
      <c r="EP12" s="237"/>
      <c r="EQ12" s="237"/>
      <c r="ER12" s="237"/>
      <c r="ES12" s="237"/>
      <c r="ET12" s="237"/>
      <c r="EU12" s="237"/>
      <c r="EV12" s="237"/>
      <c r="EW12" s="237"/>
      <c r="EX12" s="237"/>
      <c r="EY12" s="237"/>
      <c r="EZ12" s="237"/>
      <c r="FA12" s="237"/>
      <c r="FB12" s="237"/>
      <c r="FC12" s="237"/>
      <c r="FD12" s="237"/>
      <c r="FE12" s="237"/>
      <c r="FF12" s="237"/>
      <c r="FG12" s="237"/>
      <c r="FH12" s="237"/>
      <c r="FI12" s="237"/>
      <c r="FJ12" s="237"/>
      <c r="FK12" s="237"/>
      <c r="FL12" s="237"/>
      <c r="FM12" s="237"/>
      <c r="FN12" s="237"/>
      <c r="FO12" s="237"/>
      <c r="FP12" s="237"/>
      <c r="FQ12" s="237"/>
      <c r="FR12" s="237"/>
      <c r="FS12" s="237"/>
      <c r="FT12" s="237"/>
      <c r="FU12" s="237"/>
      <c r="FV12" s="237"/>
      <c r="FW12" s="237"/>
      <c r="FX12" s="237"/>
      <c r="FY12" s="237"/>
      <c r="FZ12" s="237"/>
      <c r="GA12" s="237"/>
      <c r="GB12" s="237"/>
      <c r="GC12" s="237"/>
      <c r="GD12" s="237" t="s">
        <v>46</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45</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46</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46</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45</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46</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46</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45</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46</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45</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46</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45</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46</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45</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46</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46</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45</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46</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46</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45</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46</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45</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46</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90"/>
    </row>
    <row r="13" spans="1:1866" ht="42.75" customHeight="1" thickBot="1" x14ac:dyDescent="0.3">
      <c r="B13" s="96"/>
      <c r="C13" s="229" t="s">
        <v>7</v>
      </c>
      <c r="D13" s="144"/>
      <c r="E13" s="231" t="s">
        <v>41</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30</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21</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44</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73</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72</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71</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70</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69</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68</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67</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66</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65</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64</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63</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62</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61</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60</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59</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58</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57</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56</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55</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54</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53</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52</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c r="BJN13" s="3" t="s">
        <v>51</v>
      </c>
      <c r="BLV13" s="3" t="s">
        <v>50</v>
      </c>
      <c r="BOD13" s="3" t="s">
        <v>49</v>
      </c>
      <c r="BQL13" s="3" t="s">
        <v>48</v>
      </c>
      <c r="BST13" s="3" t="s">
        <v>47</v>
      </c>
    </row>
    <row r="14" spans="1:1866" ht="12.75" customHeight="1" thickBot="1" x14ac:dyDescent="0.35">
      <c r="B14" s="96"/>
      <c r="C14" s="230"/>
      <c r="D14" s="145"/>
      <c r="E14" s="232"/>
      <c r="F14" s="103"/>
      <c r="G14" s="104"/>
      <c r="H14" s="104"/>
      <c r="I14" s="104"/>
      <c r="J14" s="219" t="s">
        <v>36</v>
      </c>
      <c r="K14" s="219"/>
      <c r="L14" s="219"/>
      <c r="M14" s="219"/>
      <c r="N14" s="104"/>
      <c r="O14" s="104"/>
      <c r="P14" s="220" t="s">
        <v>26</v>
      </c>
      <c r="Q14" s="220"/>
      <c r="R14" s="220"/>
      <c r="S14" s="220"/>
      <c r="T14" s="129"/>
      <c r="U14" s="129"/>
      <c r="V14" s="219" t="s">
        <v>37</v>
      </c>
      <c r="W14" s="219"/>
      <c r="X14" s="219"/>
      <c r="Y14" s="219"/>
      <c r="Z14" s="104"/>
      <c r="AA14" s="104"/>
      <c r="AB14" s="220" t="s">
        <v>27</v>
      </c>
      <c r="AC14" s="220"/>
      <c r="AD14" s="220"/>
      <c r="AE14" s="220"/>
      <c r="AF14" s="129"/>
      <c r="AG14" s="129"/>
      <c r="AH14" s="219" t="s">
        <v>38</v>
      </c>
      <c r="AI14" s="219"/>
      <c r="AJ14" s="219"/>
      <c r="AK14" s="219"/>
      <c r="AL14" s="104"/>
      <c r="AM14" s="104"/>
      <c r="AN14" s="220" t="s">
        <v>28</v>
      </c>
      <c r="AO14" s="220"/>
      <c r="AP14" s="220"/>
      <c r="AQ14" s="220"/>
      <c r="AR14" s="129"/>
      <c r="AS14" s="129"/>
      <c r="AT14" s="219" t="s">
        <v>39</v>
      </c>
      <c r="AU14" s="219"/>
      <c r="AV14" s="219"/>
      <c r="AW14" s="219"/>
      <c r="AX14" s="104"/>
      <c r="AY14" s="104"/>
      <c r="AZ14" s="220" t="s">
        <v>29</v>
      </c>
      <c r="BA14" s="220"/>
      <c r="BB14" s="220"/>
      <c r="BC14" s="220"/>
      <c r="BD14" s="129"/>
      <c r="BE14" s="129"/>
      <c r="BF14" s="219" t="s">
        <v>40</v>
      </c>
      <c r="BG14" s="219"/>
      <c r="BH14" s="219"/>
      <c r="BI14" s="219"/>
      <c r="BJ14" s="104"/>
      <c r="BK14" s="104"/>
      <c r="BL14" s="104"/>
      <c r="BM14" s="105"/>
      <c r="BN14" s="103"/>
      <c r="BO14" s="104"/>
      <c r="BP14" s="104"/>
      <c r="BQ14" s="104"/>
      <c r="BR14" s="219" t="s">
        <v>36</v>
      </c>
      <c r="BS14" s="219"/>
      <c r="BT14" s="219"/>
      <c r="BU14" s="219"/>
      <c r="BV14" s="104"/>
      <c r="BW14" s="104"/>
      <c r="BX14" s="220" t="s">
        <v>26</v>
      </c>
      <c r="BY14" s="220"/>
      <c r="BZ14" s="220"/>
      <c r="CA14" s="220"/>
      <c r="CB14" s="129"/>
      <c r="CC14" s="129"/>
      <c r="CD14" s="219" t="s">
        <v>37</v>
      </c>
      <c r="CE14" s="219"/>
      <c r="CF14" s="219"/>
      <c r="CG14" s="219"/>
      <c r="CH14" s="104"/>
      <c r="CI14" s="104"/>
      <c r="CJ14" s="220" t="s">
        <v>27</v>
      </c>
      <c r="CK14" s="220"/>
      <c r="CL14" s="220"/>
      <c r="CM14" s="220"/>
      <c r="CN14" s="129"/>
      <c r="CO14" s="129"/>
      <c r="CP14" s="219" t="s">
        <v>38</v>
      </c>
      <c r="CQ14" s="219"/>
      <c r="CR14" s="219"/>
      <c r="CS14" s="219"/>
      <c r="CT14" s="104"/>
      <c r="CU14" s="104"/>
      <c r="CV14" s="220" t="s">
        <v>28</v>
      </c>
      <c r="CW14" s="220"/>
      <c r="CX14" s="220"/>
      <c r="CY14" s="220"/>
      <c r="CZ14" s="129"/>
      <c r="DA14" s="129"/>
      <c r="DB14" s="219" t="s">
        <v>39</v>
      </c>
      <c r="DC14" s="219"/>
      <c r="DD14" s="219"/>
      <c r="DE14" s="219"/>
      <c r="DF14" s="104"/>
      <c r="DG14" s="104"/>
      <c r="DH14" s="220" t="s">
        <v>29</v>
      </c>
      <c r="DI14" s="220"/>
      <c r="DJ14" s="220"/>
      <c r="DK14" s="220"/>
      <c r="DL14" s="129"/>
      <c r="DM14" s="129"/>
      <c r="DN14" s="219" t="s">
        <v>40</v>
      </c>
      <c r="DO14" s="219"/>
      <c r="DP14" s="219"/>
      <c r="DQ14" s="219"/>
      <c r="DR14" s="104"/>
      <c r="DS14" s="104"/>
      <c r="DT14" s="104"/>
      <c r="DU14" s="105"/>
      <c r="DV14" s="103"/>
      <c r="DW14" s="104"/>
      <c r="DX14" s="104"/>
      <c r="DY14" s="104"/>
      <c r="DZ14" s="219" t="s">
        <v>36</v>
      </c>
      <c r="EA14" s="219"/>
      <c r="EB14" s="219"/>
      <c r="EC14" s="219"/>
      <c r="ED14" s="104"/>
      <c r="EE14" s="104"/>
      <c r="EF14" s="220" t="s">
        <v>26</v>
      </c>
      <c r="EG14" s="220"/>
      <c r="EH14" s="220"/>
      <c r="EI14" s="220"/>
      <c r="EJ14" s="129"/>
      <c r="EK14" s="129"/>
      <c r="EL14" s="219" t="s">
        <v>37</v>
      </c>
      <c r="EM14" s="219"/>
      <c r="EN14" s="219"/>
      <c r="EO14" s="219"/>
      <c r="EP14" s="104"/>
      <c r="EQ14" s="104"/>
      <c r="ER14" s="220" t="s">
        <v>27</v>
      </c>
      <c r="ES14" s="220"/>
      <c r="ET14" s="220"/>
      <c r="EU14" s="220"/>
      <c r="EV14" s="129"/>
      <c r="EW14" s="129"/>
      <c r="EX14" s="219" t="s">
        <v>38</v>
      </c>
      <c r="EY14" s="219"/>
      <c r="EZ14" s="219"/>
      <c r="FA14" s="219"/>
      <c r="FB14" s="104"/>
      <c r="FC14" s="104"/>
      <c r="FD14" s="220" t="s">
        <v>28</v>
      </c>
      <c r="FE14" s="220"/>
      <c r="FF14" s="220"/>
      <c r="FG14" s="220"/>
      <c r="FH14" s="129"/>
      <c r="FI14" s="129"/>
      <c r="FJ14" s="219" t="s">
        <v>39</v>
      </c>
      <c r="FK14" s="219"/>
      <c r="FL14" s="219"/>
      <c r="FM14" s="219"/>
      <c r="FN14" s="104"/>
      <c r="FO14" s="104"/>
      <c r="FP14" s="220" t="s">
        <v>29</v>
      </c>
      <c r="FQ14" s="220"/>
      <c r="FR14" s="220"/>
      <c r="FS14" s="220"/>
      <c r="FT14" s="129"/>
      <c r="FU14" s="129"/>
      <c r="FV14" s="219" t="s">
        <v>40</v>
      </c>
      <c r="FW14" s="219"/>
      <c r="FX14" s="219"/>
      <c r="FY14" s="219"/>
      <c r="FZ14" s="104"/>
      <c r="GA14" s="104"/>
      <c r="GB14" s="104"/>
      <c r="GC14" s="105"/>
      <c r="GD14" s="103"/>
      <c r="GE14" s="104"/>
      <c r="GF14" s="104"/>
      <c r="GG14" s="104"/>
      <c r="GH14" s="219" t="s">
        <v>36</v>
      </c>
      <c r="GI14" s="219"/>
      <c r="GJ14" s="219"/>
      <c r="GK14" s="219"/>
      <c r="GL14" s="104"/>
      <c r="GM14" s="104"/>
      <c r="GN14" s="220" t="s">
        <v>26</v>
      </c>
      <c r="GO14" s="220"/>
      <c r="GP14" s="220"/>
      <c r="GQ14" s="220"/>
      <c r="GR14" s="129"/>
      <c r="GS14" s="129"/>
      <c r="GT14" s="219" t="s">
        <v>37</v>
      </c>
      <c r="GU14" s="219"/>
      <c r="GV14" s="219"/>
      <c r="GW14" s="219"/>
      <c r="GX14" s="104"/>
      <c r="GY14" s="104"/>
      <c r="GZ14" s="220" t="s">
        <v>27</v>
      </c>
      <c r="HA14" s="220"/>
      <c r="HB14" s="220"/>
      <c r="HC14" s="220"/>
      <c r="HD14" s="129"/>
      <c r="HE14" s="129"/>
      <c r="HF14" s="219" t="s">
        <v>38</v>
      </c>
      <c r="HG14" s="219"/>
      <c r="HH14" s="219"/>
      <c r="HI14" s="219"/>
      <c r="HJ14" s="104"/>
      <c r="HK14" s="104"/>
      <c r="HL14" s="220" t="s">
        <v>28</v>
      </c>
      <c r="HM14" s="220"/>
      <c r="HN14" s="220"/>
      <c r="HO14" s="220"/>
      <c r="HP14" s="129"/>
      <c r="HQ14" s="129"/>
      <c r="HR14" s="219" t="s">
        <v>39</v>
      </c>
      <c r="HS14" s="219"/>
      <c r="HT14" s="219"/>
      <c r="HU14" s="219"/>
      <c r="HV14" s="104"/>
      <c r="HW14" s="104"/>
      <c r="HX14" s="220" t="s">
        <v>29</v>
      </c>
      <c r="HY14" s="220"/>
      <c r="HZ14" s="220"/>
      <c r="IA14" s="220"/>
      <c r="IB14" s="129"/>
      <c r="IC14" s="129"/>
      <c r="ID14" s="219" t="s">
        <v>40</v>
      </c>
      <c r="IE14" s="219"/>
      <c r="IF14" s="219"/>
      <c r="IG14" s="219"/>
      <c r="IH14" s="104"/>
      <c r="II14" s="104"/>
      <c r="IJ14" s="104"/>
      <c r="IK14" s="105"/>
      <c r="IL14" s="103"/>
      <c r="IM14" s="104"/>
      <c r="IN14" s="104"/>
      <c r="IO14" s="104"/>
      <c r="IP14" s="219" t="s">
        <v>36</v>
      </c>
      <c r="IQ14" s="219"/>
      <c r="IR14" s="219"/>
      <c r="IS14" s="219"/>
      <c r="IT14" s="104"/>
      <c r="IU14" s="104"/>
      <c r="IV14" s="220" t="s">
        <v>26</v>
      </c>
      <c r="IW14" s="220"/>
      <c r="IX14" s="220"/>
      <c r="IY14" s="220"/>
      <c r="IZ14" s="129"/>
      <c r="JA14" s="129"/>
      <c r="JB14" s="219" t="s">
        <v>37</v>
      </c>
      <c r="JC14" s="219"/>
      <c r="JD14" s="219"/>
      <c r="JE14" s="219"/>
      <c r="JF14" s="104"/>
      <c r="JG14" s="104"/>
      <c r="JH14" s="220" t="s">
        <v>27</v>
      </c>
      <c r="JI14" s="220"/>
      <c r="JJ14" s="220"/>
      <c r="JK14" s="220"/>
      <c r="JL14" s="129"/>
      <c r="JM14" s="129"/>
      <c r="JN14" s="219" t="s">
        <v>38</v>
      </c>
      <c r="JO14" s="219"/>
      <c r="JP14" s="219"/>
      <c r="JQ14" s="219"/>
      <c r="JR14" s="104"/>
      <c r="JS14" s="104"/>
      <c r="JT14" s="220" t="s">
        <v>28</v>
      </c>
      <c r="JU14" s="220"/>
      <c r="JV14" s="220"/>
      <c r="JW14" s="220"/>
      <c r="JX14" s="129"/>
      <c r="JY14" s="129"/>
      <c r="JZ14" s="219" t="s">
        <v>39</v>
      </c>
      <c r="KA14" s="219"/>
      <c r="KB14" s="219"/>
      <c r="KC14" s="219"/>
      <c r="KD14" s="104"/>
      <c r="KE14" s="104"/>
      <c r="KF14" s="220" t="s">
        <v>29</v>
      </c>
      <c r="KG14" s="220"/>
      <c r="KH14" s="220"/>
      <c r="KI14" s="220"/>
      <c r="KJ14" s="129"/>
      <c r="KK14" s="129"/>
      <c r="KL14" s="219" t="s">
        <v>40</v>
      </c>
      <c r="KM14" s="219"/>
      <c r="KN14" s="219"/>
      <c r="KO14" s="219"/>
      <c r="KP14" s="104"/>
      <c r="KQ14" s="104"/>
      <c r="KR14" s="104"/>
      <c r="KS14" s="105"/>
      <c r="KT14" s="103"/>
      <c r="KU14" s="104"/>
      <c r="KV14" s="104"/>
      <c r="KW14" s="104"/>
      <c r="KX14" s="219" t="s">
        <v>36</v>
      </c>
      <c r="KY14" s="219"/>
      <c r="KZ14" s="219"/>
      <c r="LA14" s="219"/>
      <c r="LB14" s="104"/>
      <c r="LC14" s="104"/>
      <c r="LD14" s="220" t="s">
        <v>26</v>
      </c>
      <c r="LE14" s="220"/>
      <c r="LF14" s="220"/>
      <c r="LG14" s="220"/>
      <c r="LH14" s="129"/>
      <c r="LI14" s="129"/>
      <c r="LJ14" s="219" t="s">
        <v>37</v>
      </c>
      <c r="LK14" s="219"/>
      <c r="LL14" s="219"/>
      <c r="LM14" s="219"/>
      <c r="LN14" s="104"/>
      <c r="LO14" s="104"/>
      <c r="LP14" s="220" t="s">
        <v>27</v>
      </c>
      <c r="LQ14" s="220"/>
      <c r="LR14" s="220"/>
      <c r="LS14" s="220"/>
      <c r="LT14" s="129"/>
      <c r="LU14" s="129"/>
      <c r="LV14" s="219" t="s">
        <v>38</v>
      </c>
      <c r="LW14" s="219"/>
      <c r="LX14" s="219"/>
      <c r="LY14" s="219"/>
      <c r="LZ14" s="104"/>
      <c r="MA14" s="104"/>
      <c r="MB14" s="220" t="s">
        <v>28</v>
      </c>
      <c r="MC14" s="220"/>
      <c r="MD14" s="220"/>
      <c r="ME14" s="220"/>
      <c r="MF14" s="129"/>
      <c r="MG14" s="129"/>
      <c r="MH14" s="219" t="s">
        <v>39</v>
      </c>
      <c r="MI14" s="219"/>
      <c r="MJ14" s="219"/>
      <c r="MK14" s="219"/>
      <c r="ML14" s="104"/>
      <c r="MM14" s="104"/>
      <c r="MN14" s="220" t="s">
        <v>29</v>
      </c>
      <c r="MO14" s="220"/>
      <c r="MP14" s="220"/>
      <c r="MQ14" s="220"/>
      <c r="MR14" s="129"/>
      <c r="MS14" s="129"/>
      <c r="MT14" s="219" t="s">
        <v>40</v>
      </c>
      <c r="MU14" s="219"/>
      <c r="MV14" s="219"/>
      <c r="MW14" s="219"/>
      <c r="MX14" s="104"/>
      <c r="MY14" s="104"/>
      <c r="MZ14" s="104"/>
      <c r="NA14" s="105"/>
      <c r="NB14" s="103"/>
      <c r="NC14" s="104"/>
      <c r="ND14" s="104"/>
      <c r="NE14" s="104"/>
      <c r="NF14" s="219" t="s">
        <v>36</v>
      </c>
      <c r="NG14" s="219"/>
      <c r="NH14" s="219"/>
      <c r="NI14" s="219"/>
      <c r="NJ14" s="104"/>
      <c r="NK14" s="104"/>
      <c r="NL14" s="220" t="s">
        <v>26</v>
      </c>
      <c r="NM14" s="220"/>
      <c r="NN14" s="220"/>
      <c r="NO14" s="220"/>
      <c r="NP14" s="129"/>
      <c r="NQ14" s="129"/>
      <c r="NR14" s="219" t="s">
        <v>37</v>
      </c>
      <c r="NS14" s="219"/>
      <c r="NT14" s="219"/>
      <c r="NU14" s="219"/>
      <c r="NV14" s="104"/>
      <c r="NW14" s="104"/>
      <c r="NX14" s="220" t="s">
        <v>27</v>
      </c>
      <c r="NY14" s="220"/>
      <c r="NZ14" s="220"/>
      <c r="OA14" s="220"/>
      <c r="OB14" s="129"/>
      <c r="OC14" s="129"/>
      <c r="OD14" s="219" t="s">
        <v>38</v>
      </c>
      <c r="OE14" s="219"/>
      <c r="OF14" s="219"/>
      <c r="OG14" s="219"/>
      <c r="OH14" s="104"/>
      <c r="OI14" s="104"/>
      <c r="OJ14" s="220" t="s">
        <v>28</v>
      </c>
      <c r="OK14" s="220"/>
      <c r="OL14" s="220"/>
      <c r="OM14" s="220"/>
      <c r="ON14" s="129"/>
      <c r="OO14" s="129"/>
      <c r="OP14" s="219" t="s">
        <v>39</v>
      </c>
      <c r="OQ14" s="219"/>
      <c r="OR14" s="219"/>
      <c r="OS14" s="219"/>
      <c r="OT14" s="104"/>
      <c r="OU14" s="104"/>
      <c r="OV14" s="220" t="s">
        <v>29</v>
      </c>
      <c r="OW14" s="220"/>
      <c r="OX14" s="220"/>
      <c r="OY14" s="220"/>
      <c r="OZ14" s="129"/>
      <c r="PA14" s="129"/>
      <c r="PB14" s="219" t="s">
        <v>40</v>
      </c>
      <c r="PC14" s="219"/>
      <c r="PD14" s="219"/>
      <c r="PE14" s="219"/>
      <c r="PF14" s="104"/>
      <c r="PG14" s="104"/>
      <c r="PH14" s="104"/>
      <c r="PI14" s="105"/>
      <c r="PJ14" s="103"/>
      <c r="PK14" s="104"/>
      <c r="PL14" s="104"/>
      <c r="PM14" s="104"/>
      <c r="PN14" s="219" t="s">
        <v>36</v>
      </c>
      <c r="PO14" s="219"/>
      <c r="PP14" s="219"/>
      <c r="PQ14" s="219"/>
      <c r="PR14" s="104"/>
      <c r="PS14" s="104"/>
      <c r="PT14" s="220" t="s">
        <v>26</v>
      </c>
      <c r="PU14" s="220"/>
      <c r="PV14" s="220"/>
      <c r="PW14" s="220"/>
      <c r="PX14" s="129"/>
      <c r="PY14" s="129"/>
      <c r="PZ14" s="219" t="s">
        <v>37</v>
      </c>
      <c r="QA14" s="219"/>
      <c r="QB14" s="219"/>
      <c r="QC14" s="219"/>
      <c r="QD14" s="104"/>
      <c r="QE14" s="104"/>
      <c r="QF14" s="220" t="s">
        <v>27</v>
      </c>
      <c r="QG14" s="220"/>
      <c r="QH14" s="220"/>
      <c r="QI14" s="220"/>
      <c r="QJ14" s="129"/>
      <c r="QK14" s="129"/>
      <c r="QL14" s="219" t="s">
        <v>38</v>
      </c>
      <c r="QM14" s="219"/>
      <c r="QN14" s="219"/>
      <c r="QO14" s="219"/>
      <c r="QP14" s="104"/>
      <c r="QQ14" s="104"/>
      <c r="QR14" s="220" t="s">
        <v>28</v>
      </c>
      <c r="QS14" s="220"/>
      <c r="QT14" s="220"/>
      <c r="QU14" s="220"/>
      <c r="QV14" s="129"/>
      <c r="QW14" s="129"/>
      <c r="QX14" s="219" t="s">
        <v>39</v>
      </c>
      <c r="QY14" s="219"/>
      <c r="QZ14" s="219"/>
      <c r="RA14" s="219"/>
      <c r="RB14" s="104"/>
      <c r="RC14" s="104"/>
      <c r="RD14" s="220" t="s">
        <v>29</v>
      </c>
      <c r="RE14" s="220"/>
      <c r="RF14" s="220"/>
      <c r="RG14" s="220"/>
      <c r="RH14" s="129"/>
      <c r="RI14" s="129"/>
      <c r="RJ14" s="219" t="s">
        <v>40</v>
      </c>
      <c r="RK14" s="219"/>
      <c r="RL14" s="219"/>
      <c r="RM14" s="219"/>
      <c r="RN14" s="104"/>
      <c r="RO14" s="104"/>
      <c r="RP14" s="104"/>
      <c r="RQ14" s="105"/>
      <c r="RR14" s="103"/>
      <c r="RS14" s="104"/>
      <c r="RT14" s="104"/>
      <c r="RU14" s="104"/>
      <c r="RV14" s="219" t="s">
        <v>36</v>
      </c>
      <c r="RW14" s="219"/>
      <c r="RX14" s="219"/>
      <c r="RY14" s="219"/>
      <c r="RZ14" s="104"/>
      <c r="SA14" s="104"/>
      <c r="SB14" s="220" t="s">
        <v>26</v>
      </c>
      <c r="SC14" s="220"/>
      <c r="SD14" s="220"/>
      <c r="SE14" s="220"/>
      <c r="SF14" s="129"/>
      <c r="SG14" s="129"/>
      <c r="SH14" s="219" t="s">
        <v>37</v>
      </c>
      <c r="SI14" s="219"/>
      <c r="SJ14" s="219"/>
      <c r="SK14" s="219"/>
      <c r="SL14" s="104"/>
      <c r="SM14" s="104"/>
      <c r="SN14" s="220" t="s">
        <v>27</v>
      </c>
      <c r="SO14" s="220"/>
      <c r="SP14" s="220"/>
      <c r="SQ14" s="220"/>
      <c r="SR14" s="129"/>
      <c r="SS14" s="129"/>
      <c r="ST14" s="219" t="s">
        <v>38</v>
      </c>
      <c r="SU14" s="219"/>
      <c r="SV14" s="219"/>
      <c r="SW14" s="219"/>
      <c r="SX14" s="104"/>
      <c r="SY14" s="104"/>
      <c r="SZ14" s="220" t="s">
        <v>28</v>
      </c>
      <c r="TA14" s="220"/>
      <c r="TB14" s="220"/>
      <c r="TC14" s="220"/>
      <c r="TD14" s="129"/>
      <c r="TE14" s="129"/>
      <c r="TF14" s="219" t="s">
        <v>39</v>
      </c>
      <c r="TG14" s="219"/>
      <c r="TH14" s="219"/>
      <c r="TI14" s="219"/>
      <c r="TJ14" s="104"/>
      <c r="TK14" s="104"/>
      <c r="TL14" s="220" t="s">
        <v>29</v>
      </c>
      <c r="TM14" s="220"/>
      <c r="TN14" s="220"/>
      <c r="TO14" s="220"/>
      <c r="TP14" s="129"/>
      <c r="TQ14" s="129"/>
      <c r="TR14" s="219" t="s">
        <v>40</v>
      </c>
      <c r="TS14" s="219"/>
      <c r="TT14" s="219"/>
      <c r="TU14" s="219"/>
      <c r="TV14" s="104"/>
      <c r="TW14" s="104"/>
      <c r="TX14" s="104"/>
      <c r="TY14" s="105"/>
      <c r="TZ14" s="103"/>
      <c r="UA14" s="104"/>
      <c r="UB14" s="104"/>
      <c r="UC14" s="104"/>
      <c r="UD14" s="219" t="s">
        <v>36</v>
      </c>
      <c r="UE14" s="219"/>
      <c r="UF14" s="219"/>
      <c r="UG14" s="219"/>
      <c r="UH14" s="104"/>
      <c r="UI14" s="104"/>
      <c r="UJ14" s="220" t="s">
        <v>26</v>
      </c>
      <c r="UK14" s="220"/>
      <c r="UL14" s="220"/>
      <c r="UM14" s="220"/>
      <c r="UN14" s="129"/>
      <c r="UO14" s="129"/>
      <c r="UP14" s="219" t="s">
        <v>37</v>
      </c>
      <c r="UQ14" s="219"/>
      <c r="UR14" s="219"/>
      <c r="US14" s="219"/>
      <c r="UT14" s="104"/>
      <c r="UU14" s="104"/>
      <c r="UV14" s="220" t="s">
        <v>27</v>
      </c>
      <c r="UW14" s="220"/>
      <c r="UX14" s="220"/>
      <c r="UY14" s="220"/>
      <c r="UZ14" s="129"/>
      <c r="VA14" s="129"/>
      <c r="VB14" s="219" t="s">
        <v>38</v>
      </c>
      <c r="VC14" s="219"/>
      <c r="VD14" s="219"/>
      <c r="VE14" s="219"/>
      <c r="VF14" s="104"/>
      <c r="VG14" s="104"/>
      <c r="VH14" s="220" t="s">
        <v>28</v>
      </c>
      <c r="VI14" s="220"/>
      <c r="VJ14" s="220"/>
      <c r="VK14" s="220"/>
      <c r="VL14" s="129"/>
      <c r="VM14" s="129"/>
      <c r="VN14" s="219" t="s">
        <v>39</v>
      </c>
      <c r="VO14" s="219"/>
      <c r="VP14" s="219"/>
      <c r="VQ14" s="219"/>
      <c r="VR14" s="104"/>
      <c r="VS14" s="104"/>
      <c r="VT14" s="220" t="s">
        <v>29</v>
      </c>
      <c r="VU14" s="220"/>
      <c r="VV14" s="220"/>
      <c r="VW14" s="220"/>
      <c r="VX14" s="129"/>
      <c r="VY14" s="129"/>
      <c r="VZ14" s="219" t="s">
        <v>40</v>
      </c>
      <c r="WA14" s="219"/>
      <c r="WB14" s="219"/>
      <c r="WC14" s="219"/>
      <c r="WD14" s="104"/>
      <c r="WE14" s="104"/>
      <c r="WF14" s="104"/>
      <c r="WG14" s="105"/>
      <c r="WH14" s="103"/>
      <c r="WI14" s="104"/>
      <c r="WJ14" s="104"/>
      <c r="WK14" s="104"/>
      <c r="WL14" s="219" t="s">
        <v>36</v>
      </c>
      <c r="WM14" s="219"/>
      <c r="WN14" s="219"/>
      <c r="WO14" s="219"/>
      <c r="WP14" s="104"/>
      <c r="WQ14" s="104"/>
      <c r="WR14" s="220" t="s">
        <v>26</v>
      </c>
      <c r="WS14" s="220"/>
      <c r="WT14" s="220"/>
      <c r="WU14" s="220"/>
      <c r="WV14" s="129"/>
      <c r="WW14" s="129"/>
      <c r="WX14" s="219" t="s">
        <v>37</v>
      </c>
      <c r="WY14" s="219"/>
      <c r="WZ14" s="219"/>
      <c r="XA14" s="219"/>
      <c r="XB14" s="104"/>
      <c r="XC14" s="104"/>
      <c r="XD14" s="220" t="s">
        <v>27</v>
      </c>
      <c r="XE14" s="220"/>
      <c r="XF14" s="220"/>
      <c r="XG14" s="220"/>
      <c r="XH14" s="129"/>
      <c r="XI14" s="129"/>
      <c r="XJ14" s="219" t="s">
        <v>38</v>
      </c>
      <c r="XK14" s="219"/>
      <c r="XL14" s="219"/>
      <c r="XM14" s="219"/>
      <c r="XN14" s="104"/>
      <c r="XO14" s="104"/>
      <c r="XP14" s="220" t="s">
        <v>28</v>
      </c>
      <c r="XQ14" s="220"/>
      <c r="XR14" s="220"/>
      <c r="XS14" s="220"/>
      <c r="XT14" s="129"/>
      <c r="XU14" s="129"/>
      <c r="XV14" s="219" t="s">
        <v>39</v>
      </c>
      <c r="XW14" s="219"/>
      <c r="XX14" s="219"/>
      <c r="XY14" s="219"/>
      <c r="XZ14" s="104"/>
      <c r="YA14" s="104"/>
      <c r="YB14" s="220" t="s">
        <v>29</v>
      </c>
      <c r="YC14" s="220"/>
      <c r="YD14" s="220"/>
      <c r="YE14" s="220"/>
      <c r="YF14" s="129"/>
      <c r="YG14" s="129"/>
      <c r="YH14" s="219" t="s">
        <v>40</v>
      </c>
      <c r="YI14" s="219"/>
      <c r="YJ14" s="219"/>
      <c r="YK14" s="219"/>
      <c r="YL14" s="104"/>
      <c r="YM14" s="104"/>
      <c r="YN14" s="104"/>
      <c r="YO14" s="105"/>
      <c r="YP14" s="103"/>
      <c r="YQ14" s="104"/>
      <c r="YR14" s="104"/>
      <c r="YS14" s="104"/>
      <c r="YT14" s="219" t="s">
        <v>36</v>
      </c>
      <c r="YU14" s="219"/>
      <c r="YV14" s="219"/>
      <c r="YW14" s="219"/>
      <c r="YX14" s="104"/>
      <c r="YY14" s="104"/>
      <c r="YZ14" s="220" t="s">
        <v>26</v>
      </c>
      <c r="ZA14" s="220"/>
      <c r="ZB14" s="220"/>
      <c r="ZC14" s="220"/>
      <c r="ZD14" s="129"/>
      <c r="ZE14" s="129"/>
      <c r="ZF14" s="219" t="s">
        <v>37</v>
      </c>
      <c r="ZG14" s="219"/>
      <c r="ZH14" s="219"/>
      <c r="ZI14" s="219"/>
      <c r="ZJ14" s="104"/>
      <c r="ZK14" s="104"/>
      <c r="ZL14" s="220" t="s">
        <v>27</v>
      </c>
      <c r="ZM14" s="220"/>
      <c r="ZN14" s="220"/>
      <c r="ZO14" s="220"/>
      <c r="ZP14" s="129"/>
      <c r="ZQ14" s="129"/>
      <c r="ZR14" s="219" t="s">
        <v>38</v>
      </c>
      <c r="ZS14" s="219"/>
      <c r="ZT14" s="219"/>
      <c r="ZU14" s="219"/>
      <c r="ZV14" s="104"/>
      <c r="ZW14" s="104"/>
      <c r="ZX14" s="220" t="s">
        <v>28</v>
      </c>
      <c r="ZY14" s="220"/>
      <c r="ZZ14" s="220"/>
      <c r="AAA14" s="220"/>
      <c r="AAB14" s="129"/>
      <c r="AAC14" s="129"/>
      <c r="AAD14" s="219" t="s">
        <v>39</v>
      </c>
      <c r="AAE14" s="219"/>
      <c r="AAF14" s="219"/>
      <c r="AAG14" s="219"/>
      <c r="AAH14" s="104"/>
      <c r="AAI14" s="104"/>
      <c r="AAJ14" s="220" t="s">
        <v>29</v>
      </c>
      <c r="AAK14" s="220"/>
      <c r="AAL14" s="220"/>
      <c r="AAM14" s="220"/>
      <c r="AAN14" s="129"/>
      <c r="AAO14" s="129"/>
      <c r="AAP14" s="219" t="s">
        <v>40</v>
      </c>
      <c r="AAQ14" s="219"/>
      <c r="AAR14" s="219"/>
      <c r="AAS14" s="219"/>
      <c r="AAT14" s="104"/>
      <c r="AAU14" s="104"/>
      <c r="AAV14" s="104"/>
      <c r="AAW14" s="105"/>
      <c r="AAX14" s="103"/>
      <c r="AAY14" s="104"/>
      <c r="AAZ14" s="104"/>
      <c r="ABA14" s="104"/>
      <c r="ABB14" s="219" t="s">
        <v>36</v>
      </c>
      <c r="ABC14" s="219"/>
      <c r="ABD14" s="219"/>
      <c r="ABE14" s="219"/>
      <c r="ABF14" s="104"/>
      <c r="ABG14" s="104"/>
      <c r="ABH14" s="220" t="s">
        <v>26</v>
      </c>
      <c r="ABI14" s="220"/>
      <c r="ABJ14" s="220"/>
      <c r="ABK14" s="220"/>
      <c r="ABL14" s="129"/>
      <c r="ABM14" s="129"/>
      <c r="ABN14" s="219" t="s">
        <v>37</v>
      </c>
      <c r="ABO14" s="219"/>
      <c r="ABP14" s="219"/>
      <c r="ABQ14" s="219"/>
      <c r="ABR14" s="104"/>
      <c r="ABS14" s="104"/>
      <c r="ABT14" s="220" t="s">
        <v>27</v>
      </c>
      <c r="ABU14" s="220"/>
      <c r="ABV14" s="220"/>
      <c r="ABW14" s="220"/>
      <c r="ABX14" s="129"/>
      <c r="ABY14" s="129"/>
      <c r="ABZ14" s="219" t="s">
        <v>38</v>
      </c>
      <c r="ACA14" s="219"/>
      <c r="ACB14" s="219"/>
      <c r="ACC14" s="219"/>
      <c r="ACD14" s="104"/>
      <c r="ACE14" s="104"/>
      <c r="ACF14" s="220" t="s">
        <v>28</v>
      </c>
      <c r="ACG14" s="220"/>
      <c r="ACH14" s="220"/>
      <c r="ACI14" s="220"/>
      <c r="ACJ14" s="129"/>
      <c r="ACK14" s="129"/>
      <c r="ACL14" s="219" t="s">
        <v>39</v>
      </c>
      <c r="ACM14" s="219"/>
      <c r="ACN14" s="219"/>
      <c r="ACO14" s="219"/>
      <c r="ACP14" s="104"/>
      <c r="ACQ14" s="104"/>
      <c r="ACR14" s="220" t="s">
        <v>29</v>
      </c>
      <c r="ACS14" s="220"/>
      <c r="ACT14" s="220"/>
      <c r="ACU14" s="220"/>
      <c r="ACV14" s="129"/>
      <c r="ACW14" s="129"/>
      <c r="ACX14" s="219" t="s">
        <v>40</v>
      </c>
      <c r="ACY14" s="219"/>
      <c r="ACZ14" s="219"/>
      <c r="ADA14" s="219"/>
      <c r="ADB14" s="104"/>
      <c r="ADC14" s="104"/>
      <c r="ADD14" s="104"/>
      <c r="ADE14" s="105"/>
      <c r="ADF14" s="103"/>
      <c r="ADG14" s="104"/>
      <c r="ADH14" s="104"/>
      <c r="ADI14" s="104"/>
      <c r="ADJ14" s="219" t="s">
        <v>36</v>
      </c>
      <c r="ADK14" s="219"/>
      <c r="ADL14" s="219"/>
      <c r="ADM14" s="219"/>
      <c r="ADN14" s="104"/>
      <c r="ADO14" s="104"/>
      <c r="ADP14" s="220" t="s">
        <v>26</v>
      </c>
      <c r="ADQ14" s="220"/>
      <c r="ADR14" s="220"/>
      <c r="ADS14" s="220"/>
      <c r="ADT14" s="129"/>
      <c r="ADU14" s="129"/>
      <c r="ADV14" s="219" t="s">
        <v>37</v>
      </c>
      <c r="ADW14" s="219"/>
      <c r="ADX14" s="219"/>
      <c r="ADY14" s="219"/>
      <c r="ADZ14" s="104"/>
      <c r="AEA14" s="104"/>
      <c r="AEB14" s="220" t="s">
        <v>27</v>
      </c>
      <c r="AEC14" s="220"/>
      <c r="AED14" s="220"/>
      <c r="AEE14" s="220"/>
      <c r="AEF14" s="129"/>
      <c r="AEG14" s="129"/>
      <c r="AEH14" s="219" t="s">
        <v>38</v>
      </c>
      <c r="AEI14" s="219"/>
      <c r="AEJ14" s="219"/>
      <c r="AEK14" s="219"/>
      <c r="AEL14" s="104"/>
      <c r="AEM14" s="104"/>
      <c r="AEN14" s="220" t="s">
        <v>28</v>
      </c>
      <c r="AEO14" s="220"/>
      <c r="AEP14" s="220"/>
      <c r="AEQ14" s="220"/>
      <c r="AER14" s="129"/>
      <c r="AES14" s="129"/>
      <c r="AET14" s="219" t="s">
        <v>39</v>
      </c>
      <c r="AEU14" s="219"/>
      <c r="AEV14" s="219"/>
      <c r="AEW14" s="219"/>
      <c r="AEX14" s="104"/>
      <c r="AEY14" s="104"/>
      <c r="AEZ14" s="220" t="s">
        <v>29</v>
      </c>
      <c r="AFA14" s="220"/>
      <c r="AFB14" s="220"/>
      <c r="AFC14" s="220"/>
      <c r="AFD14" s="129"/>
      <c r="AFE14" s="129"/>
      <c r="AFF14" s="219" t="s">
        <v>40</v>
      </c>
      <c r="AFG14" s="219"/>
      <c r="AFH14" s="219"/>
      <c r="AFI14" s="219"/>
      <c r="AFJ14" s="104"/>
      <c r="AFK14" s="104"/>
      <c r="AFL14" s="104"/>
      <c r="AFM14" s="105"/>
      <c r="AFN14" s="103"/>
      <c r="AFO14" s="104"/>
      <c r="AFP14" s="104"/>
      <c r="AFQ14" s="104"/>
      <c r="AFR14" s="219" t="s">
        <v>36</v>
      </c>
      <c r="AFS14" s="219"/>
      <c r="AFT14" s="219"/>
      <c r="AFU14" s="219"/>
      <c r="AFV14" s="104"/>
      <c r="AFW14" s="104"/>
      <c r="AFX14" s="220" t="s">
        <v>26</v>
      </c>
      <c r="AFY14" s="220"/>
      <c r="AFZ14" s="220"/>
      <c r="AGA14" s="220"/>
      <c r="AGB14" s="129"/>
      <c r="AGC14" s="129"/>
      <c r="AGD14" s="219" t="s">
        <v>37</v>
      </c>
      <c r="AGE14" s="219"/>
      <c r="AGF14" s="219"/>
      <c r="AGG14" s="219"/>
      <c r="AGH14" s="104"/>
      <c r="AGI14" s="104"/>
      <c r="AGJ14" s="220" t="s">
        <v>27</v>
      </c>
      <c r="AGK14" s="220"/>
      <c r="AGL14" s="220"/>
      <c r="AGM14" s="220"/>
      <c r="AGN14" s="129"/>
      <c r="AGO14" s="129"/>
      <c r="AGP14" s="219" t="s">
        <v>38</v>
      </c>
      <c r="AGQ14" s="219"/>
      <c r="AGR14" s="219"/>
      <c r="AGS14" s="219"/>
      <c r="AGT14" s="104"/>
      <c r="AGU14" s="104"/>
      <c r="AGV14" s="220" t="s">
        <v>28</v>
      </c>
      <c r="AGW14" s="220"/>
      <c r="AGX14" s="220"/>
      <c r="AGY14" s="220"/>
      <c r="AGZ14" s="129"/>
      <c r="AHA14" s="129"/>
      <c r="AHB14" s="219" t="s">
        <v>39</v>
      </c>
      <c r="AHC14" s="219"/>
      <c r="AHD14" s="219"/>
      <c r="AHE14" s="219"/>
      <c r="AHF14" s="104"/>
      <c r="AHG14" s="104"/>
      <c r="AHH14" s="220" t="s">
        <v>29</v>
      </c>
      <c r="AHI14" s="220"/>
      <c r="AHJ14" s="220"/>
      <c r="AHK14" s="220"/>
      <c r="AHL14" s="129"/>
      <c r="AHM14" s="129"/>
      <c r="AHN14" s="219" t="s">
        <v>40</v>
      </c>
      <c r="AHO14" s="219"/>
      <c r="AHP14" s="219"/>
      <c r="AHQ14" s="219"/>
      <c r="AHR14" s="104"/>
      <c r="AHS14" s="104"/>
      <c r="AHT14" s="104"/>
      <c r="AHU14" s="105"/>
      <c r="AHV14" s="103"/>
      <c r="AHW14" s="104"/>
      <c r="AHX14" s="104"/>
      <c r="AHY14" s="104"/>
      <c r="AHZ14" s="219" t="s">
        <v>36</v>
      </c>
      <c r="AIA14" s="219"/>
      <c r="AIB14" s="219"/>
      <c r="AIC14" s="219"/>
      <c r="AID14" s="104"/>
      <c r="AIE14" s="104"/>
      <c r="AIF14" s="220" t="s">
        <v>26</v>
      </c>
      <c r="AIG14" s="220"/>
      <c r="AIH14" s="220"/>
      <c r="AII14" s="220"/>
      <c r="AIJ14" s="129"/>
      <c r="AIK14" s="129"/>
      <c r="AIL14" s="219" t="s">
        <v>37</v>
      </c>
      <c r="AIM14" s="219"/>
      <c r="AIN14" s="219"/>
      <c r="AIO14" s="219"/>
      <c r="AIP14" s="104"/>
      <c r="AIQ14" s="104"/>
      <c r="AIR14" s="220" t="s">
        <v>27</v>
      </c>
      <c r="AIS14" s="220"/>
      <c r="AIT14" s="220"/>
      <c r="AIU14" s="220"/>
      <c r="AIV14" s="129"/>
      <c r="AIW14" s="129"/>
      <c r="AIX14" s="219" t="s">
        <v>38</v>
      </c>
      <c r="AIY14" s="219"/>
      <c r="AIZ14" s="219"/>
      <c r="AJA14" s="219"/>
      <c r="AJB14" s="104"/>
      <c r="AJC14" s="104"/>
      <c r="AJD14" s="220" t="s">
        <v>28</v>
      </c>
      <c r="AJE14" s="220"/>
      <c r="AJF14" s="220"/>
      <c r="AJG14" s="220"/>
      <c r="AJH14" s="129"/>
      <c r="AJI14" s="129"/>
      <c r="AJJ14" s="219" t="s">
        <v>39</v>
      </c>
      <c r="AJK14" s="219"/>
      <c r="AJL14" s="219"/>
      <c r="AJM14" s="219"/>
      <c r="AJN14" s="104"/>
      <c r="AJO14" s="104"/>
      <c r="AJP14" s="220" t="s">
        <v>29</v>
      </c>
      <c r="AJQ14" s="220"/>
      <c r="AJR14" s="220"/>
      <c r="AJS14" s="220"/>
      <c r="AJT14" s="129"/>
      <c r="AJU14" s="129"/>
      <c r="AJV14" s="219" t="s">
        <v>40</v>
      </c>
      <c r="AJW14" s="219"/>
      <c r="AJX14" s="219"/>
      <c r="AJY14" s="219"/>
      <c r="AJZ14" s="104"/>
      <c r="AKA14" s="104"/>
      <c r="AKB14" s="104"/>
      <c r="AKC14" s="105"/>
      <c r="AKD14" s="103"/>
      <c r="AKE14" s="104"/>
      <c r="AKF14" s="104"/>
      <c r="AKG14" s="104"/>
      <c r="AKH14" s="219" t="s">
        <v>36</v>
      </c>
      <c r="AKI14" s="219"/>
      <c r="AKJ14" s="219"/>
      <c r="AKK14" s="219"/>
      <c r="AKL14" s="104"/>
      <c r="AKM14" s="104"/>
      <c r="AKN14" s="220" t="s">
        <v>26</v>
      </c>
      <c r="AKO14" s="220"/>
      <c r="AKP14" s="220"/>
      <c r="AKQ14" s="220"/>
      <c r="AKR14" s="129"/>
      <c r="AKS14" s="129"/>
      <c r="AKT14" s="219" t="s">
        <v>37</v>
      </c>
      <c r="AKU14" s="219"/>
      <c r="AKV14" s="219"/>
      <c r="AKW14" s="219"/>
      <c r="AKX14" s="104"/>
      <c r="AKY14" s="104"/>
      <c r="AKZ14" s="220" t="s">
        <v>27</v>
      </c>
      <c r="ALA14" s="220"/>
      <c r="ALB14" s="220"/>
      <c r="ALC14" s="220"/>
      <c r="ALD14" s="129"/>
      <c r="ALE14" s="129"/>
      <c r="ALF14" s="219" t="s">
        <v>38</v>
      </c>
      <c r="ALG14" s="219"/>
      <c r="ALH14" s="219"/>
      <c r="ALI14" s="219"/>
      <c r="ALJ14" s="104"/>
      <c r="ALK14" s="104"/>
      <c r="ALL14" s="220" t="s">
        <v>28</v>
      </c>
      <c r="ALM14" s="220"/>
      <c r="ALN14" s="220"/>
      <c r="ALO14" s="220"/>
      <c r="ALP14" s="129"/>
      <c r="ALQ14" s="129"/>
      <c r="ALR14" s="219" t="s">
        <v>39</v>
      </c>
      <c r="ALS14" s="219"/>
      <c r="ALT14" s="219"/>
      <c r="ALU14" s="219"/>
      <c r="ALV14" s="104"/>
      <c r="ALW14" s="104"/>
      <c r="ALX14" s="220" t="s">
        <v>29</v>
      </c>
      <c r="ALY14" s="220"/>
      <c r="ALZ14" s="220"/>
      <c r="AMA14" s="220"/>
      <c r="AMB14" s="129"/>
      <c r="AMC14" s="129"/>
      <c r="AMD14" s="219" t="s">
        <v>40</v>
      </c>
      <c r="AME14" s="219"/>
      <c r="AMF14" s="219"/>
      <c r="AMG14" s="219"/>
      <c r="AMH14" s="104"/>
      <c r="AMI14" s="104"/>
      <c r="AMJ14" s="104"/>
      <c r="AMK14" s="105"/>
      <c r="AML14" s="103"/>
      <c r="AMM14" s="104"/>
      <c r="AMN14" s="104"/>
      <c r="AMO14" s="104"/>
      <c r="AMP14" s="219" t="s">
        <v>36</v>
      </c>
      <c r="AMQ14" s="219"/>
      <c r="AMR14" s="219"/>
      <c r="AMS14" s="219"/>
      <c r="AMT14" s="104"/>
      <c r="AMU14" s="104"/>
      <c r="AMV14" s="220" t="s">
        <v>26</v>
      </c>
      <c r="AMW14" s="220"/>
      <c r="AMX14" s="220"/>
      <c r="AMY14" s="220"/>
      <c r="AMZ14" s="129"/>
      <c r="ANA14" s="129"/>
      <c r="ANB14" s="219" t="s">
        <v>37</v>
      </c>
      <c r="ANC14" s="219"/>
      <c r="AND14" s="219"/>
      <c r="ANE14" s="219"/>
      <c r="ANF14" s="104"/>
      <c r="ANG14" s="104"/>
      <c r="ANH14" s="220" t="s">
        <v>27</v>
      </c>
      <c r="ANI14" s="220"/>
      <c r="ANJ14" s="220"/>
      <c r="ANK14" s="220"/>
      <c r="ANL14" s="129"/>
      <c r="ANM14" s="129"/>
      <c r="ANN14" s="219" t="s">
        <v>38</v>
      </c>
      <c r="ANO14" s="219"/>
      <c r="ANP14" s="219"/>
      <c r="ANQ14" s="219"/>
      <c r="ANR14" s="104"/>
      <c r="ANS14" s="104"/>
      <c r="ANT14" s="220" t="s">
        <v>28</v>
      </c>
      <c r="ANU14" s="220"/>
      <c r="ANV14" s="220"/>
      <c r="ANW14" s="220"/>
      <c r="ANX14" s="129"/>
      <c r="ANY14" s="129"/>
      <c r="ANZ14" s="219" t="s">
        <v>39</v>
      </c>
      <c r="AOA14" s="219"/>
      <c r="AOB14" s="219"/>
      <c r="AOC14" s="219"/>
      <c r="AOD14" s="104"/>
      <c r="AOE14" s="104"/>
      <c r="AOF14" s="220" t="s">
        <v>29</v>
      </c>
      <c r="AOG14" s="220"/>
      <c r="AOH14" s="220"/>
      <c r="AOI14" s="220"/>
      <c r="AOJ14" s="129"/>
      <c r="AOK14" s="129"/>
      <c r="AOL14" s="219" t="s">
        <v>40</v>
      </c>
      <c r="AOM14" s="219"/>
      <c r="AON14" s="219"/>
      <c r="AOO14" s="219"/>
      <c r="AOP14" s="104"/>
      <c r="AOQ14" s="104"/>
      <c r="AOR14" s="104"/>
      <c r="AOS14" s="105"/>
      <c r="AOT14" s="103"/>
      <c r="AOU14" s="104"/>
      <c r="AOV14" s="104"/>
      <c r="AOW14" s="104"/>
      <c r="AOX14" s="219" t="s">
        <v>36</v>
      </c>
      <c r="AOY14" s="219"/>
      <c r="AOZ14" s="219"/>
      <c r="APA14" s="219"/>
      <c r="APB14" s="104"/>
      <c r="APC14" s="104"/>
      <c r="APD14" s="220" t="s">
        <v>26</v>
      </c>
      <c r="APE14" s="220"/>
      <c r="APF14" s="220"/>
      <c r="APG14" s="220"/>
      <c r="APH14" s="129"/>
      <c r="API14" s="129"/>
      <c r="APJ14" s="219" t="s">
        <v>37</v>
      </c>
      <c r="APK14" s="219"/>
      <c r="APL14" s="219"/>
      <c r="APM14" s="219"/>
      <c r="APN14" s="104"/>
      <c r="APO14" s="104"/>
      <c r="APP14" s="220" t="s">
        <v>27</v>
      </c>
      <c r="APQ14" s="220"/>
      <c r="APR14" s="220"/>
      <c r="APS14" s="220"/>
      <c r="APT14" s="129"/>
      <c r="APU14" s="129"/>
      <c r="APV14" s="219" t="s">
        <v>38</v>
      </c>
      <c r="APW14" s="219"/>
      <c r="APX14" s="219"/>
      <c r="APY14" s="219"/>
      <c r="APZ14" s="104"/>
      <c r="AQA14" s="104"/>
      <c r="AQB14" s="220" t="s">
        <v>28</v>
      </c>
      <c r="AQC14" s="220"/>
      <c r="AQD14" s="220"/>
      <c r="AQE14" s="220"/>
      <c r="AQF14" s="129"/>
      <c r="AQG14" s="129"/>
      <c r="AQH14" s="219" t="s">
        <v>39</v>
      </c>
      <c r="AQI14" s="219"/>
      <c r="AQJ14" s="219"/>
      <c r="AQK14" s="219"/>
      <c r="AQL14" s="104"/>
      <c r="AQM14" s="104"/>
      <c r="AQN14" s="220" t="s">
        <v>29</v>
      </c>
      <c r="AQO14" s="220"/>
      <c r="AQP14" s="220"/>
      <c r="AQQ14" s="220"/>
      <c r="AQR14" s="129"/>
      <c r="AQS14" s="129"/>
      <c r="AQT14" s="219" t="s">
        <v>40</v>
      </c>
      <c r="AQU14" s="219"/>
      <c r="AQV14" s="219"/>
      <c r="AQW14" s="219"/>
      <c r="AQX14" s="104"/>
      <c r="AQY14" s="104"/>
      <c r="AQZ14" s="104"/>
      <c r="ARA14" s="105"/>
      <c r="ARB14" s="103"/>
      <c r="ARC14" s="104"/>
      <c r="ARD14" s="104"/>
      <c r="ARE14" s="104"/>
      <c r="ARF14" s="219" t="s">
        <v>36</v>
      </c>
      <c r="ARG14" s="219"/>
      <c r="ARH14" s="219"/>
      <c r="ARI14" s="219"/>
      <c r="ARJ14" s="104"/>
      <c r="ARK14" s="104"/>
      <c r="ARL14" s="220" t="s">
        <v>26</v>
      </c>
      <c r="ARM14" s="220"/>
      <c r="ARN14" s="220"/>
      <c r="ARO14" s="220"/>
      <c r="ARP14" s="129"/>
      <c r="ARQ14" s="129"/>
      <c r="ARR14" s="219" t="s">
        <v>37</v>
      </c>
      <c r="ARS14" s="219"/>
      <c r="ART14" s="219"/>
      <c r="ARU14" s="219"/>
      <c r="ARV14" s="104"/>
      <c r="ARW14" s="104"/>
      <c r="ARX14" s="220" t="s">
        <v>27</v>
      </c>
      <c r="ARY14" s="220"/>
      <c r="ARZ14" s="220"/>
      <c r="ASA14" s="220"/>
      <c r="ASB14" s="129"/>
      <c r="ASC14" s="129"/>
      <c r="ASD14" s="219" t="s">
        <v>38</v>
      </c>
      <c r="ASE14" s="219"/>
      <c r="ASF14" s="219"/>
      <c r="ASG14" s="219"/>
      <c r="ASH14" s="104"/>
      <c r="ASI14" s="104"/>
      <c r="ASJ14" s="220" t="s">
        <v>28</v>
      </c>
      <c r="ASK14" s="220"/>
      <c r="ASL14" s="220"/>
      <c r="ASM14" s="220"/>
      <c r="ASN14" s="129"/>
      <c r="ASO14" s="129"/>
      <c r="ASP14" s="219" t="s">
        <v>39</v>
      </c>
      <c r="ASQ14" s="219"/>
      <c r="ASR14" s="219"/>
      <c r="ASS14" s="219"/>
      <c r="AST14" s="104"/>
      <c r="ASU14" s="104"/>
      <c r="ASV14" s="220" t="s">
        <v>29</v>
      </c>
      <c r="ASW14" s="220"/>
      <c r="ASX14" s="220"/>
      <c r="ASY14" s="220"/>
      <c r="ASZ14" s="129"/>
      <c r="ATA14" s="129"/>
      <c r="ATB14" s="219" t="s">
        <v>40</v>
      </c>
      <c r="ATC14" s="219"/>
      <c r="ATD14" s="219"/>
      <c r="ATE14" s="219"/>
      <c r="ATF14" s="104"/>
      <c r="ATG14" s="104"/>
      <c r="ATH14" s="104"/>
      <c r="ATI14" s="105"/>
      <c r="ATJ14" s="103"/>
      <c r="ATK14" s="104"/>
      <c r="ATL14" s="104"/>
      <c r="ATM14" s="104"/>
      <c r="ATN14" s="219" t="s">
        <v>36</v>
      </c>
      <c r="ATO14" s="219"/>
      <c r="ATP14" s="219"/>
      <c r="ATQ14" s="219"/>
      <c r="ATR14" s="104"/>
      <c r="ATS14" s="104"/>
      <c r="ATT14" s="220" t="s">
        <v>26</v>
      </c>
      <c r="ATU14" s="220"/>
      <c r="ATV14" s="220"/>
      <c r="ATW14" s="220"/>
      <c r="ATX14" s="129"/>
      <c r="ATY14" s="129"/>
      <c r="ATZ14" s="219" t="s">
        <v>37</v>
      </c>
      <c r="AUA14" s="219"/>
      <c r="AUB14" s="219"/>
      <c r="AUC14" s="219"/>
      <c r="AUD14" s="104"/>
      <c r="AUE14" s="104"/>
      <c r="AUF14" s="220" t="s">
        <v>27</v>
      </c>
      <c r="AUG14" s="220"/>
      <c r="AUH14" s="220"/>
      <c r="AUI14" s="220"/>
      <c r="AUJ14" s="129"/>
      <c r="AUK14" s="129"/>
      <c r="AUL14" s="219" t="s">
        <v>38</v>
      </c>
      <c r="AUM14" s="219"/>
      <c r="AUN14" s="219"/>
      <c r="AUO14" s="219"/>
      <c r="AUP14" s="104"/>
      <c r="AUQ14" s="104"/>
      <c r="AUR14" s="220" t="s">
        <v>28</v>
      </c>
      <c r="AUS14" s="220"/>
      <c r="AUT14" s="220"/>
      <c r="AUU14" s="220"/>
      <c r="AUV14" s="129"/>
      <c r="AUW14" s="129"/>
      <c r="AUX14" s="219" t="s">
        <v>39</v>
      </c>
      <c r="AUY14" s="219"/>
      <c r="AUZ14" s="219"/>
      <c r="AVA14" s="219"/>
      <c r="AVB14" s="104"/>
      <c r="AVC14" s="104"/>
      <c r="AVD14" s="220" t="s">
        <v>29</v>
      </c>
      <c r="AVE14" s="220"/>
      <c r="AVF14" s="220"/>
      <c r="AVG14" s="220"/>
      <c r="AVH14" s="129"/>
      <c r="AVI14" s="129"/>
      <c r="AVJ14" s="219" t="s">
        <v>40</v>
      </c>
      <c r="AVK14" s="219"/>
      <c r="AVL14" s="219"/>
      <c r="AVM14" s="219"/>
      <c r="AVN14" s="104"/>
      <c r="AVO14" s="104"/>
      <c r="AVP14" s="104"/>
      <c r="AVQ14" s="105"/>
      <c r="AVR14" s="103"/>
      <c r="AVS14" s="104"/>
      <c r="AVT14" s="104"/>
      <c r="AVU14" s="104"/>
      <c r="AVV14" s="219" t="s">
        <v>36</v>
      </c>
      <c r="AVW14" s="219"/>
      <c r="AVX14" s="219"/>
      <c r="AVY14" s="219"/>
      <c r="AVZ14" s="104"/>
      <c r="AWA14" s="104"/>
      <c r="AWB14" s="220" t="s">
        <v>26</v>
      </c>
      <c r="AWC14" s="220"/>
      <c r="AWD14" s="220"/>
      <c r="AWE14" s="220"/>
      <c r="AWF14" s="129"/>
      <c r="AWG14" s="129"/>
      <c r="AWH14" s="219" t="s">
        <v>37</v>
      </c>
      <c r="AWI14" s="219"/>
      <c r="AWJ14" s="219"/>
      <c r="AWK14" s="219"/>
      <c r="AWL14" s="104"/>
      <c r="AWM14" s="104"/>
      <c r="AWN14" s="220" t="s">
        <v>27</v>
      </c>
      <c r="AWO14" s="220"/>
      <c r="AWP14" s="220"/>
      <c r="AWQ14" s="220"/>
      <c r="AWR14" s="129"/>
      <c r="AWS14" s="129"/>
      <c r="AWT14" s="219" t="s">
        <v>38</v>
      </c>
      <c r="AWU14" s="219"/>
      <c r="AWV14" s="219"/>
      <c r="AWW14" s="219"/>
      <c r="AWX14" s="104"/>
      <c r="AWY14" s="104"/>
      <c r="AWZ14" s="220" t="s">
        <v>28</v>
      </c>
      <c r="AXA14" s="220"/>
      <c r="AXB14" s="220"/>
      <c r="AXC14" s="220"/>
      <c r="AXD14" s="129"/>
      <c r="AXE14" s="129"/>
      <c r="AXF14" s="219" t="s">
        <v>39</v>
      </c>
      <c r="AXG14" s="219"/>
      <c r="AXH14" s="219"/>
      <c r="AXI14" s="219"/>
      <c r="AXJ14" s="104"/>
      <c r="AXK14" s="104"/>
      <c r="AXL14" s="220" t="s">
        <v>29</v>
      </c>
      <c r="AXM14" s="220"/>
      <c r="AXN14" s="220"/>
      <c r="AXO14" s="220"/>
      <c r="AXP14" s="129"/>
      <c r="AXQ14" s="129"/>
      <c r="AXR14" s="219" t="s">
        <v>40</v>
      </c>
      <c r="AXS14" s="219"/>
      <c r="AXT14" s="219"/>
      <c r="AXU14" s="219"/>
      <c r="AXV14" s="104"/>
      <c r="AXW14" s="104"/>
      <c r="AXX14" s="104"/>
      <c r="AXY14" s="105"/>
      <c r="AXZ14" s="103"/>
      <c r="AYA14" s="104"/>
      <c r="AYB14" s="104"/>
      <c r="AYC14" s="104"/>
      <c r="AYD14" s="219" t="s">
        <v>36</v>
      </c>
      <c r="AYE14" s="219"/>
      <c r="AYF14" s="219"/>
      <c r="AYG14" s="219"/>
      <c r="AYH14" s="104"/>
      <c r="AYI14" s="104"/>
      <c r="AYJ14" s="220" t="s">
        <v>26</v>
      </c>
      <c r="AYK14" s="220"/>
      <c r="AYL14" s="220"/>
      <c r="AYM14" s="220"/>
      <c r="AYN14" s="129"/>
      <c r="AYO14" s="129"/>
      <c r="AYP14" s="219" t="s">
        <v>37</v>
      </c>
      <c r="AYQ14" s="219"/>
      <c r="AYR14" s="219"/>
      <c r="AYS14" s="219"/>
      <c r="AYT14" s="104"/>
      <c r="AYU14" s="104"/>
      <c r="AYV14" s="220" t="s">
        <v>27</v>
      </c>
      <c r="AYW14" s="220"/>
      <c r="AYX14" s="220"/>
      <c r="AYY14" s="220"/>
      <c r="AYZ14" s="129"/>
      <c r="AZA14" s="129"/>
      <c r="AZB14" s="219" t="s">
        <v>38</v>
      </c>
      <c r="AZC14" s="219"/>
      <c r="AZD14" s="219"/>
      <c r="AZE14" s="219"/>
      <c r="AZF14" s="104"/>
      <c r="AZG14" s="104"/>
      <c r="AZH14" s="220" t="s">
        <v>28</v>
      </c>
      <c r="AZI14" s="220"/>
      <c r="AZJ14" s="220"/>
      <c r="AZK14" s="220"/>
      <c r="AZL14" s="129"/>
      <c r="AZM14" s="129"/>
      <c r="AZN14" s="219" t="s">
        <v>39</v>
      </c>
      <c r="AZO14" s="219"/>
      <c r="AZP14" s="219"/>
      <c r="AZQ14" s="219"/>
      <c r="AZR14" s="104"/>
      <c r="AZS14" s="104"/>
      <c r="AZT14" s="220" t="s">
        <v>29</v>
      </c>
      <c r="AZU14" s="220"/>
      <c r="AZV14" s="220"/>
      <c r="AZW14" s="220"/>
      <c r="AZX14" s="129"/>
      <c r="AZY14" s="129"/>
      <c r="AZZ14" s="219" t="s">
        <v>40</v>
      </c>
      <c r="BAA14" s="219"/>
      <c r="BAB14" s="219"/>
      <c r="BAC14" s="219"/>
      <c r="BAD14" s="104"/>
      <c r="BAE14" s="104"/>
      <c r="BAF14" s="104"/>
      <c r="BAG14" s="105"/>
      <c r="BAH14" s="103"/>
      <c r="BAI14" s="104"/>
      <c r="BAJ14" s="104"/>
      <c r="BAK14" s="104"/>
      <c r="BAL14" s="219" t="s">
        <v>36</v>
      </c>
      <c r="BAM14" s="219"/>
      <c r="BAN14" s="219"/>
      <c r="BAO14" s="219"/>
      <c r="BAP14" s="104"/>
      <c r="BAQ14" s="104"/>
      <c r="BAR14" s="220" t="s">
        <v>26</v>
      </c>
      <c r="BAS14" s="220"/>
      <c r="BAT14" s="220"/>
      <c r="BAU14" s="220"/>
      <c r="BAV14" s="129"/>
      <c r="BAW14" s="129"/>
      <c r="BAX14" s="219" t="s">
        <v>37</v>
      </c>
      <c r="BAY14" s="219"/>
      <c r="BAZ14" s="219"/>
      <c r="BBA14" s="219"/>
      <c r="BBB14" s="104"/>
      <c r="BBC14" s="104"/>
      <c r="BBD14" s="220" t="s">
        <v>27</v>
      </c>
      <c r="BBE14" s="220"/>
      <c r="BBF14" s="220"/>
      <c r="BBG14" s="220"/>
      <c r="BBH14" s="129"/>
      <c r="BBI14" s="129"/>
      <c r="BBJ14" s="219" t="s">
        <v>38</v>
      </c>
      <c r="BBK14" s="219"/>
      <c r="BBL14" s="219"/>
      <c r="BBM14" s="219"/>
      <c r="BBN14" s="104"/>
      <c r="BBO14" s="104"/>
      <c r="BBP14" s="220" t="s">
        <v>28</v>
      </c>
      <c r="BBQ14" s="220"/>
      <c r="BBR14" s="220"/>
      <c r="BBS14" s="220"/>
      <c r="BBT14" s="129"/>
      <c r="BBU14" s="129"/>
      <c r="BBV14" s="219" t="s">
        <v>39</v>
      </c>
      <c r="BBW14" s="219"/>
      <c r="BBX14" s="219"/>
      <c r="BBY14" s="219"/>
      <c r="BBZ14" s="104"/>
      <c r="BCA14" s="104"/>
      <c r="BCB14" s="220" t="s">
        <v>29</v>
      </c>
      <c r="BCC14" s="220"/>
      <c r="BCD14" s="220"/>
      <c r="BCE14" s="220"/>
      <c r="BCF14" s="129"/>
      <c r="BCG14" s="129"/>
      <c r="BCH14" s="219" t="s">
        <v>40</v>
      </c>
      <c r="BCI14" s="219"/>
      <c r="BCJ14" s="219"/>
      <c r="BCK14" s="219"/>
      <c r="BCL14" s="104"/>
      <c r="BCM14" s="104"/>
      <c r="BCN14" s="104"/>
      <c r="BCO14" s="105"/>
      <c r="BCP14" s="103"/>
      <c r="BCQ14" s="104"/>
      <c r="BCR14" s="104"/>
      <c r="BCS14" s="104"/>
      <c r="BCT14" s="219" t="s">
        <v>36</v>
      </c>
      <c r="BCU14" s="219"/>
      <c r="BCV14" s="219"/>
      <c r="BCW14" s="219"/>
      <c r="BCX14" s="104"/>
      <c r="BCY14" s="104"/>
      <c r="BCZ14" s="220" t="s">
        <v>26</v>
      </c>
      <c r="BDA14" s="220"/>
      <c r="BDB14" s="220"/>
      <c r="BDC14" s="220"/>
      <c r="BDD14" s="129"/>
      <c r="BDE14" s="129"/>
      <c r="BDF14" s="219" t="s">
        <v>37</v>
      </c>
      <c r="BDG14" s="219"/>
      <c r="BDH14" s="219"/>
      <c r="BDI14" s="219"/>
      <c r="BDJ14" s="104"/>
      <c r="BDK14" s="104"/>
      <c r="BDL14" s="220" t="s">
        <v>27</v>
      </c>
      <c r="BDM14" s="220"/>
      <c r="BDN14" s="220"/>
      <c r="BDO14" s="220"/>
      <c r="BDP14" s="129"/>
      <c r="BDQ14" s="129"/>
      <c r="BDR14" s="219" t="s">
        <v>38</v>
      </c>
      <c r="BDS14" s="219"/>
      <c r="BDT14" s="219"/>
      <c r="BDU14" s="219"/>
      <c r="BDV14" s="104"/>
      <c r="BDW14" s="104"/>
      <c r="BDX14" s="220" t="s">
        <v>28</v>
      </c>
      <c r="BDY14" s="220"/>
      <c r="BDZ14" s="220"/>
      <c r="BEA14" s="220"/>
      <c r="BEB14" s="129"/>
      <c r="BEC14" s="129"/>
      <c r="BED14" s="219" t="s">
        <v>39</v>
      </c>
      <c r="BEE14" s="219"/>
      <c r="BEF14" s="219"/>
      <c r="BEG14" s="219"/>
      <c r="BEH14" s="104"/>
      <c r="BEI14" s="104"/>
      <c r="BEJ14" s="220" t="s">
        <v>29</v>
      </c>
      <c r="BEK14" s="220"/>
      <c r="BEL14" s="220"/>
      <c r="BEM14" s="220"/>
      <c r="BEN14" s="129"/>
      <c r="BEO14" s="129"/>
      <c r="BEP14" s="219" t="s">
        <v>40</v>
      </c>
      <c r="BEQ14" s="219"/>
      <c r="BER14" s="219"/>
      <c r="BES14" s="219"/>
      <c r="BET14" s="104"/>
      <c r="BEU14" s="104"/>
      <c r="BEV14" s="104"/>
      <c r="BEW14" s="105"/>
      <c r="BEX14" s="103"/>
      <c r="BEY14" s="104"/>
      <c r="BEZ14" s="104"/>
      <c r="BFA14" s="104"/>
      <c r="BFB14" s="219" t="s">
        <v>36</v>
      </c>
      <c r="BFC14" s="219"/>
      <c r="BFD14" s="219"/>
      <c r="BFE14" s="219"/>
      <c r="BFF14" s="104"/>
      <c r="BFG14" s="104"/>
      <c r="BFH14" s="220" t="s">
        <v>26</v>
      </c>
      <c r="BFI14" s="220"/>
      <c r="BFJ14" s="220"/>
      <c r="BFK14" s="220"/>
      <c r="BFL14" s="129"/>
      <c r="BFM14" s="129"/>
      <c r="BFN14" s="219" t="s">
        <v>37</v>
      </c>
      <c r="BFO14" s="219"/>
      <c r="BFP14" s="219"/>
      <c r="BFQ14" s="219"/>
      <c r="BFR14" s="104"/>
      <c r="BFS14" s="104"/>
      <c r="BFT14" s="220" t="s">
        <v>27</v>
      </c>
      <c r="BFU14" s="220"/>
      <c r="BFV14" s="220"/>
      <c r="BFW14" s="220"/>
      <c r="BFX14" s="129"/>
      <c r="BFY14" s="129"/>
      <c r="BFZ14" s="219" t="s">
        <v>38</v>
      </c>
      <c r="BGA14" s="219"/>
      <c r="BGB14" s="219"/>
      <c r="BGC14" s="219"/>
      <c r="BGD14" s="104"/>
      <c r="BGE14" s="104"/>
      <c r="BGF14" s="220" t="s">
        <v>28</v>
      </c>
      <c r="BGG14" s="220"/>
      <c r="BGH14" s="220"/>
      <c r="BGI14" s="220"/>
      <c r="BGJ14" s="129"/>
      <c r="BGK14" s="129"/>
      <c r="BGL14" s="219" t="s">
        <v>39</v>
      </c>
      <c r="BGM14" s="219"/>
      <c r="BGN14" s="219"/>
      <c r="BGO14" s="219"/>
      <c r="BGP14" s="104"/>
      <c r="BGQ14" s="104"/>
      <c r="BGR14" s="220" t="s">
        <v>29</v>
      </c>
      <c r="BGS14" s="220"/>
      <c r="BGT14" s="220"/>
      <c r="BGU14" s="220"/>
      <c r="BGV14" s="129"/>
      <c r="BGW14" s="129"/>
      <c r="BGX14" s="219" t="s">
        <v>40</v>
      </c>
      <c r="BGY14" s="219"/>
      <c r="BGZ14" s="219"/>
      <c r="BHA14" s="219"/>
      <c r="BHB14" s="104"/>
      <c r="BHC14" s="104"/>
      <c r="BHD14" s="104"/>
      <c r="BHE14" s="105"/>
      <c r="BHF14" s="90"/>
    </row>
    <row r="15" spans="1:1866" ht="20.100000000000001" customHeight="1" x14ac:dyDescent="0.25">
      <c r="A15" s="100" t="s">
        <v>22</v>
      </c>
      <c r="B15" s="63" t="str">
        <f>IF(LEN(C15)=0,"",C15)</f>
        <v xml:space="preserve">Absences - imprévus </v>
      </c>
      <c r="C15" s="20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08"/>
      <c r="D16" s="147" t="str">
        <f t="shared" ref="D16:D79" si="0">setValueToTime(E16)</f>
        <v>0h45min</v>
      </c>
      <c r="E16" s="35">
        <v>9</v>
      </c>
      <c r="F16" s="28"/>
      <c r="G16" s="67"/>
      <c r="H16" s="67"/>
      <c r="I16" s="67"/>
      <c r="J16" s="29"/>
      <c r="K16" s="131"/>
      <c r="L16" s="29"/>
      <c r="M16" s="29"/>
      <c r="N16" s="262"/>
      <c r="O16" s="262"/>
      <c r="P16" s="262"/>
      <c r="Q16" s="264"/>
      <c r="R16" s="262"/>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62"/>
      <c r="EQ16" s="262"/>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60"/>
      <c r="KU16" s="261"/>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06"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08"/>
      <c r="D18" s="148" t="str">
        <f t="shared" si="0"/>
        <v>1h30min</v>
      </c>
      <c r="E18" s="35">
        <v>18</v>
      </c>
      <c r="F18" s="270"/>
      <c r="G18" s="268"/>
      <c r="H18" s="268"/>
      <c r="I18" s="268"/>
      <c r="J18" s="266"/>
      <c r="K18" s="271"/>
      <c r="L18" s="266"/>
      <c r="M18" s="266"/>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66"/>
      <c r="CN18" s="266"/>
      <c r="CO18" s="266"/>
      <c r="CP18" s="266"/>
      <c r="CQ18" s="267"/>
      <c r="CR18" s="268"/>
      <c r="CS18" s="268"/>
      <c r="CT18" s="268"/>
      <c r="CU18" s="268"/>
      <c r="CV18" s="266"/>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06"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08"/>
      <c r="D20" s="147" t="str">
        <f t="shared" si="0"/>
        <v>5h20min</v>
      </c>
      <c r="E20" s="27">
        <v>64</v>
      </c>
      <c r="F20" s="28"/>
      <c r="G20" s="67"/>
      <c r="H20" s="67"/>
      <c r="I20" s="67"/>
      <c r="J20" s="29"/>
      <c r="K20" s="131"/>
      <c r="L20" s="29"/>
      <c r="M20" s="29"/>
      <c r="N20" s="29"/>
      <c r="O20" s="29"/>
      <c r="P20" s="29"/>
      <c r="Q20" s="136"/>
      <c r="R20" s="29"/>
      <c r="S20" s="262"/>
      <c r="T20" s="262"/>
      <c r="U20" s="262"/>
      <c r="V20" s="262"/>
      <c r="W20" s="267"/>
      <c r="X20" s="262"/>
      <c r="Y20" s="262"/>
      <c r="Z20" s="262"/>
      <c r="AA20" s="262"/>
      <c r="AB20" s="262"/>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60"/>
      <c r="BO20" s="261"/>
      <c r="BP20" s="261"/>
      <c r="BQ20" s="261"/>
      <c r="BR20" s="262"/>
      <c r="BS20" s="263"/>
      <c r="BT20" s="262"/>
      <c r="BU20" s="262"/>
      <c r="BV20" s="262"/>
      <c r="BW20" s="262"/>
      <c r="BX20" s="262"/>
      <c r="BY20" s="264"/>
      <c r="BZ20" s="262"/>
      <c r="CA20" s="262"/>
      <c r="CB20" s="262"/>
      <c r="CC20" s="262"/>
      <c r="CD20" s="262"/>
      <c r="CE20" s="267"/>
      <c r="CF20" s="262"/>
      <c r="CG20" s="262"/>
      <c r="CH20" s="262"/>
      <c r="CI20" s="262"/>
      <c r="CJ20" s="262"/>
      <c r="CK20" s="264"/>
      <c r="CL20" s="262"/>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62"/>
      <c r="ES20" s="264"/>
      <c r="ET20" s="262"/>
      <c r="EU20" s="262"/>
      <c r="EV20" s="262"/>
      <c r="EW20" s="262"/>
      <c r="EX20" s="262"/>
      <c r="EY20" s="267"/>
      <c r="EZ20" s="261"/>
      <c r="FA20" s="261"/>
      <c r="FB20" s="261"/>
      <c r="FC20" s="261"/>
      <c r="FD20" s="262"/>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60"/>
      <c r="GE20" s="261"/>
      <c r="GF20" s="261"/>
      <c r="GG20" s="261"/>
      <c r="GH20" s="262"/>
      <c r="GI20" s="263"/>
      <c r="GJ20" s="262"/>
      <c r="GK20" s="262"/>
      <c r="GL20" s="262"/>
      <c r="GM20" s="262"/>
      <c r="GN20" s="262"/>
      <c r="GO20" s="264"/>
      <c r="GP20" s="262"/>
      <c r="GQ20" s="262"/>
      <c r="GR20" s="262"/>
      <c r="GS20" s="262"/>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06"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07"/>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69"/>
      <c r="AP22" s="266"/>
      <c r="AQ22" s="266"/>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66"/>
      <c r="DH22" s="266"/>
      <c r="DI22" s="269"/>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69"/>
      <c r="FF22" s="266"/>
      <c r="FG22" s="266"/>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69"/>
      <c r="HN22" s="266"/>
      <c r="HO22" s="266"/>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69"/>
      <c r="JV22" s="266"/>
      <c r="JW22" s="266"/>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69"/>
      <c r="MD22" s="266"/>
      <c r="ME22" s="266"/>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66"/>
      <c r="OV22" s="266"/>
      <c r="OW22" s="269"/>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69"/>
      <c r="QT22" s="266"/>
      <c r="QU22" s="266"/>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06"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07"/>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62"/>
      <c r="DC24" s="265"/>
      <c r="DD24" s="262"/>
      <c r="DE24" s="262"/>
      <c r="DF24" s="262"/>
      <c r="DG24" s="29"/>
      <c r="DH24" s="29"/>
      <c r="DI24" s="136"/>
      <c r="DJ24" s="29"/>
      <c r="DK24" s="29"/>
      <c r="DL24" s="29"/>
      <c r="DM24" s="29"/>
      <c r="DN24" s="29"/>
      <c r="DO24" s="73"/>
      <c r="DP24" s="29"/>
      <c r="DQ24" s="29"/>
      <c r="DR24" s="29"/>
      <c r="DS24" s="29"/>
      <c r="DT24" s="29"/>
      <c r="DU24" s="30"/>
      <c r="DV24" s="260"/>
      <c r="DW24" s="261"/>
      <c r="DX24" s="261"/>
      <c r="DY24" s="261"/>
      <c r="DZ24" s="262"/>
      <c r="EA24" s="263"/>
      <c r="EB24" s="262"/>
      <c r="EC24" s="262"/>
      <c r="ED24" s="262"/>
      <c r="EE24" s="262"/>
      <c r="EF24" s="262"/>
      <c r="EG24" s="264"/>
      <c r="EH24" s="262"/>
      <c r="EI24" s="262"/>
      <c r="EJ24" s="262"/>
      <c r="EK24" s="262"/>
      <c r="EL24" s="262"/>
      <c r="EM24" s="265"/>
      <c r="EN24" s="262"/>
      <c r="EO24" s="262"/>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62"/>
      <c r="JG24" s="262"/>
      <c r="JH24" s="262"/>
      <c r="JI24" s="264"/>
      <c r="JJ24" s="262"/>
      <c r="JK24" s="262"/>
      <c r="JL24" s="262"/>
      <c r="JM24" s="262"/>
      <c r="JN24" s="262"/>
      <c r="JO24" s="265"/>
      <c r="JP24" s="261"/>
      <c r="JQ24" s="261"/>
      <c r="JR24" s="261"/>
      <c r="JS24" s="261"/>
      <c r="JT24" s="262"/>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61"/>
      <c r="KW24" s="261"/>
      <c r="KX24" s="262"/>
      <c r="KY24" s="263"/>
      <c r="KZ24" s="262"/>
      <c r="LA24" s="262"/>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60"/>
      <c r="NC24" s="261"/>
      <c r="ND24" s="261"/>
      <c r="NE24" s="261"/>
      <c r="NF24" s="262"/>
      <c r="NG24" s="263"/>
      <c r="NH24" s="262"/>
      <c r="NI24" s="262"/>
      <c r="NJ24" s="262"/>
      <c r="NK24" s="262"/>
      <c r="NL24" s="262"/>
      <c r="NM24" s="264"/>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60"/>
      <c r="PK24" s="261"/>
      <c r="PL24" s="261"/>
      <c r="PM24" s="261"/>
      <c r="PN24" s="262"/>
      <c r="PO24" s="263"/>
      <c r="PP24" s="262"/>
      <c r="PQ24" s="262"/>
      <c r="PR24" s="262"/>
      <c r="PS24" s="262"/>
      <c r="PT24" s="262"/>
      <c r="PU24" s="264"/>
      <c r="PV24" s="262"/>
      <c r="PW24" s="262"/>
      <c r="PX24" s="262"/>
      <c r="PY24" s="262"/>
      <c r="PZ24" s="262"/>
      <c r="QA24" s="265"/>
      <c r="QB24" s="262"/>
      <c r="QC24" s="262"/>
      <c r="QD24" s="262"/>
      <c r="QE24" s="262"/>
      <c r="QF24" s="262"/>
      <c r="QG24" s="264"/>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06"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08"/>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06"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07"/>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62"/>
      <c r="GU28" s="265"/>
      <c r="GV28" s="262"/>
      <c r="GW28" s="262"/>
      <c r="GX28" s="262"/>
      <c r="GY28" s="262"/>
      <c r="GZ28" s="262"/>
      <c r="HA28" s="264"/>
      <c r="HB28" s="262"/>
      <c r="HC28" s="262"/>
      <c r="HD28" s="262"/>
      <c r="HE28" s="262"/>
      <c r="HF28" s="262"/>
      <c r="HG28" s="265"/>
      <c r="HH28" s="261"/>
      <c r="HI28" s="261"/>
      <c r="HJ28" s="261"/>
      <c r="HK28" s="261"/>
      <c r="HL28" s="262"/>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60"/>
      <c r="IM28" s="261"/>
      <c r="IN28" s="261"/>
      <c r="IO28" s="261"/>
      <c r="IP28" s="262"/>
      <c r="IQ28" s="263"/>
      <c r="IR28" s="262"/>
      <c r="IS28" s="262"/>
      <c r="IT28" s="262"/>
      <c r="IU28" s="262"/>
      <c r="IV28" s="262"/>
      <c r="IW28" s="264"/>
      <c r="IX28" s="262"/>
      <c r="IY28" s="262"/>
      <c r="IZ28" s="262"/>
      <c r="JA28" s="262"/>
      <c r="JB28" s="262"/>
      <c r="JC28" s="265"/>
      <c r="JD28" s="262"/>
      <c r="JE28" s="262"/>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62"/>
      <c r="LC28" s="262"/>
      <c r="LD28" s="262"/>
      <c r="LE28" s="264"/>
      <c r="LF28" s="262"/>
      <c r="LG28" s="262"/>
      <c r="LH28" s="262"/>
      <c r="LI28" s="262"/>
      <c r="LJ28" s="262"/>
      <c r="LK28" s="265"/>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06"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07"/>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66"/>
      <c r="OQ30" s="267"/>
      <c r="OR30" s="266"/>
      <c r="OS30" s="266"/>
      <c r="OT30" s="266"/>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06"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07"/>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62"/>
      <c r="NO32" s="262"/>
      <c r="NP32" s="262"/>
      <c r="NQ32" s="262"/>
      <c r="NR32" s="262"/>
      <c r="NS32" s="265"/>
      <c r="NT32" s="262"/>
      <c r="NU32" s="262"/>
      <c r="NV32" s="262"/>
      <c r="NW32" s="262"/>
      <c r="NX32" s="262"/>
      <c r="NY32" s="264"/>
      <c r="NZ32" s="262"/>
      <c r="OA32" s="262"/>
      <c r="OB32" s="262"/>
      <c r="OC32" s="262"/>
      <c r="OD32" s="262"/>
      <c r="OE32" s="265"/>
      <c r="OF32" s="261"/>
      <c r="OG32" s="261"/>
      <c r="OH32" s="261"/>
      <c r="OI32" s="261"/>
      <c r="OJ32" s="262"/>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06"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06"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06"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06"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06"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07"/>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66"/>
      <c r="LM42" s="266"/>
      <c r="LN42" s="266"/>
      <c r="LO42" s="266"/>
      <c r="LP42" s="266"/>
      <c r="LQ42" s="269"/>
      <c r="LR42" s="266"/>
      <c r="LS42" s="266"/>
      <c r="LT42" s="266"/>
      <c r="LU42" s="266"/>
      <c r="LV42" s="266"/>
      <c r="LW42" s="267"/>
      <c r="LX42" s="268"/>
      <c r="LY42" s="268"/>
      <c r="LZ42" s="268"/>
      <c r="MA42" s="268"/>
      <c r="MB42" s="266"/>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69"/>
      <c r="OL42" s="266"/>
      <c r="OM42" s="266"/>
      <c r="ON42" s="266"/>
      <c r="OO42" s="266"/>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06"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07"/>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69"/>
      <c r="AD44" s="266"/>
      <c r="AE44" s="266"/>
      <c r="AF44" s="266"/>
      <c r="AG44" s="266"/>
      <c r="AH44" s="266"/>
      <c r="AI44" s="267"/>
      <c r="AJ44" s="268"/>
      <c r="AK44" s="268"/>
      <c r="AL44" s="268"/>
      <c r="AM44" s="268"/>
      <c r="AN44" s="266"/>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66"/>
      <c r="QI44" s="266"/>
      <c r="QJ44" s="266"/>
      <c r="QK44" s="266"/>
      <c r="QL44" s="266"/>
      <c r="QM44" s="267"/>
      <c r="QN44" s="268"/>
      <c r="QO44" s="268"/>
      <c r="QP44" s="268"/>
      <c r="QQ44" s="268"/>
      <c r="QR44" s="266"/>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06"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07"/>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69"/>
      <c r="CX46" s="266"/>
      <c r="CY46" s="266"/>
      <c r="CZ46" s="266"/>
      <c r="DA46" s="266"/>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06"/>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0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06"/>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0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0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0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0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0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0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0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0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0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0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0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0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0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0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0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0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0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0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0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0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0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0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0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0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0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0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0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0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0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0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0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0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0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0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0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0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1" t="s">
        <v>9</v>
      </c>
      <c r="D95" s="22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3"/>
      <c r="D96" s="22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5" t="s">
        <v>10</v>
      </c>
      <c r="D97" s="226"/>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7"/>
      <c r="D98" s="228"/>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44" t="s">
        <v>18</v>
      </c>
      <c r="F3" s="245"/>
      <c r="G3" s="46"/>
    </row>
    <row r="4" spans="1:7" s="52" customFormat="1" x14ac:dyDescent="0.3">
      <c r="A4" s="48" t="s">
        <v>102</v>
      </c>
      <c r="B4" s="49">
        <v>12</v>
      </c>
      <c r="C4" s="152" t="str">
        <f xml:space="preserve"> IF(B4="","",setValueToTime(B4))</f>
        <v>1h</v>
      </c>
      <c r="D4" s="172" t="s">
        <v>104</v>
      </c>
      <c r="E4" s="246"/>
      <c r="F4" s="247"/>
      <c r="G4" s="51"/>
    </row>
    <row r="5" spans="1:7" s="52" customFormat="1" x14ac:dyDescent="0.3">
      <c r="A5" s="53" t="s">
        <v>92</v>
      </c>
      <c r="B5" s="54">
        <v>18</v>
      </c>
      <c r="C5" s="153" t="str">
        <f t="shared" ref="C5:C7" si="0" xml:space="preserve"> IF(B5="","",setValueToTime(B5))</f>
        <v>1h30min</v>
      </c>
      <c r="D5" s="175" t="s">
        <v>105</v>
      </c>
      <c r="E5" s="238"/>
      <c r="F5" s="239"/>
      <c r="G5" s="51"/>
    </row>
    <row r="6" spans="1:7" s="52" customFormat="1" x14ac:dyDescent="0.3">
      <c r="A6" s="53" t="s">
        <v>103</v>
      </c>
      <c r="B6" s="54">
        <v>6</v>
      </c>
      <c r="C6" s="153" t="str">
        <f t="shared" si="0"/>
        <v>0h30min</v>
      </c>
      <c r="D6" s="175" t="s">
        <v>106</v>
      </c>
      <c r="E6" s="238"/>
      <c r="F6" s="239"/>
      <c r="G6" s="51"/>
    </row>
    <row r="7" spans="1:7" s="52" customFormat="1" x14ac:dyDescent="0.3">
      <c r="A7" s="174" t="s">
        <v>94</v>
      </c>
      <c r="B7" s="54">
        <v>6</v>
      </c>
      <c r="C7" s="153" t="str">
        <f t="shared" si="0"/>
        <v>0h30min</v>
      </c>
      <c r="D7" s="175" t="s">
        <v>168</v>
      </c>
      <c r="E7" s="238"/>
      <c r="F7" s="239"/>
      <c r="G7" s="51"/>
    </row>
    <row r="8" spans="1:7" s="52" customFormat="1" x14ac:dyDescent="0.3">
      <c r="A8" s="53" t="s">
        <v>91</v>
      </c>
      <c r="B8" s="54">
        <v>6</v>
      </c>
      <c r="C8" s="153" t="str">
        <f t="shared" ref="C8" si="1" xml:space="preserve"> IF(B8="","",setValueToTime(B8))</f>
        <v>0h30min</v>
      </c>
      <c r="D8" s="175" t="s">
        <v>107</v>
      </c>
      <c r="E8" s="238"/>
      <c r="F8" s="239"/>
      <c r="G8" s="51"/>
    </row>
    <row r="9" spans="1:7" s="52" customFormat="1" x14ac:dyDescent="0.3">
      <c r="A9" s="54"/>
      <c r="B9" s="54"/>
      <c r="C9" s="154" t="str">
        <f t="shared" ref="C9:C11" si="2" xml:space="preserve"> IF(B9="","",setValueToTime(B9))</f>
        <v/>
      </c>
      <c r="D9" s="55"/>
      <c r="E9" s="238"/>
      <c r="F9" s="239"/>
      <c r="G9" s="51"/>
    </row>
    <row r="10" spans="1:7" s="52" customFormat="1" x14ac:dyDescent="0.3">
      <c r="A10" s="54"/>
      <c r="B10" s="54"/>
      <c r="C10" s="154" t="str">
        <f t="shared" si="2"/>
        <v/>
      </c>
      <c r="D10" s="55"/>
      <c r="E10" s="238"/>
      <c r="F10" s="239"/>
      <c r="G10" s="51"/>
    </row>
    <row r="11" spans="1:7" s="52" customFormat="1" ht="15" thickBot="1" x14ac:dyDescent="0.35">
      <c r="A11" s="56"/>
      <c r="B11" s="56"/>
      <c r="C11" s="155" t="str">
        <f t="shared" si="2"/>
        <v/>
      </c>
      <c r="D11" s="57"/>
      <c r="E11" s="240"/>
      <c r="F11" s="241"/>
      <c r="G11" s="51"/>
    </row>
    <row r="12" spans="1:7" s="52" customFormat="1" ht="15" thickBot="1" x14ac:dyDescent="0.35">
      <c r="A12" s="111" t="s">
        <v>31</v>
      </c>
      <c r="B12" s="84">
        <f>SUM(B4:B11)</f>
        <v>48</v>
      </c>
      <c r="C12" s="111" t="str">
        <f xml:space="preserve"> setValueToTime(B12)</f>
        <v>4h</v>
      </c>
      <c r="D12" s="120"/>
      <c r="E12" s="242"/>
      <c r="F12" s="243"/>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44" t="s">
        <v>18</v>
      </c>
      <c r="F15" s="245"/>
      <c r="G15" s="46"/>
    </row>
    <row r="16" spans="1:7" s="52" customFormat="1" ht="27" x14ac:dyDescent="0.3">
      <c r="A16" s="54" t="s">
        <v>102</v>
      </c>
      <c r="B16" s="54">
        <v>10</v>
      </c>
      <c r="C16" s="154" t="str">
        <f t="shared" ref="C16:C17" si="3" xml:space="preserve"> IF(B16="","",setValueToTime(B16))</f>
        <v>0h50min</v>
      </c>
      <c r="D16" s="175" t="s">
        <v>165</v>
      </c>
      <c r="E16" s="246"/>
      <c r="F16" s="247"/>
      <c r="G16" s="51"/>
    </row>
    <row r="17" spans="1:7" s="52" customFormat="1" x14ac:dyDescent="0.3">
      <c r="A17" s="53" t="s">
        <v>92</v>
      </c>
      <c r="B17" s="54">
        <v>22</v>
      </c>
      <c r="C17" s="153" t="str">
        <f t="shared" si="3"/>
        <v>1h50min</v>
      </c>
      <c r="D17" s="175" t="s">
        <v>167</v>
      </c>
      <c r="E17" s="238"/>
      <c r="F17" s="239"/>
      <c r="G17" s="51"/>
    </row>
    <row r="18" spans="1:7" s="52" customFormat="1" x14ac:dyDescent="0.3">
      <c r="A18" s="53" t="s">
        <v>95</v>
      </c>
      <c r="B18" s="54">
        <v>3</v>
      </c>
      <c r="C18" s="153" t="str">
        <f t="shared" ref="C18:C19" si="4" xml:space="preserve"> IF(B18="","",setValueToTime(B18))</f>
        <v>0h15min</v>
      </c>
      <c r="D18" s="175" t="s">
        <v>108</v>
      </c>
      <c r="E18" s="238"/>
      <c r="F18" s="239"/>
      <c r="G18" s="51"/>
    </row>
    <row r="19" spans="1:7" s="52" customFormat="1" x14ac:dyDescent="0.3">
      <c r="A19" s="53" t="s">
        <v>91</v>
      </c>
      <c r="B19" s="54">
        <v>3</v>
      </c>
      <c r="C19" s="153" t="str">
        <f t="shared" si="4"/>
        <v>0h15min</v>
      </c>
      <c r="D19" s="175" t="s">
        <v>109</v>
      </c>
      <c r="E19" s="238"/>
      <c r="F19" s="239"/>
      <c r="G19" s="51"/>
    </row>
    <row r="20" spans="1:7" s="52" customFormat="1" x14ac:dyDescent="0.3">
      <c r="A20" s="54"/>
      <c r="B20" s="54"/>
      <c r="C20" s="154" t="str">
        <f t="shared" ref="C20:C23" si="5" xml:space="preserve"> IF(B20="","",setValueToTime(B20))</f>
        <v/>
      </c>
      <c r="D20" s="55"/>
      <c r="E20" s="238"/>
      <c r="F20" s="239"/>
      <c r="G20" s="51"/>
    </row>
    <row r="21" spans="1:7" s="52" customFormat="1" x14ac:dyDescent="0.3">
      <c r="A21" s="54"/>
      <c r="B21" s="54"/>
      <c r="C21" s="154" t="str">
        <f t="shared" si="5"/>
        <v/>
      </c>
      <c r="D21" s="55"/>
      <c r="E21" s="238"/>
      <c r="F21" s="239"/>
      <c r="G21" s="51"/>
    </row>
    <row r="22" spans="1:7" s="52" customFormat="1" x14ac:dyDescent="0.3">
      <c r="A22" s="54"/>
      <c r="B22" s="54"/>
      <c r="C22" s="154" t="str">
        <f t="shared" si="5"/>
        <v/>
      </c>
      <c r="D22" s="55"/>
      <c r="E22" s="238"/>
      <c r="F22" s="239"/>
      <c r="G22" s="51"/>
    </row>
    <row r="23" spans="1:7" s="52" customFormat="1" ht="15" thickBot="1" x14ac:dyDescent="0.35">
      <c r="A23" s="56"/>
      <c r="B23" s="56"/>
      <c r="C23" s="155" t="str">
        <f t="shared" si="5"/>
        <v/>
      </c>
      <c r="D23" s="57"/>
      <c r="E23" s="240"/>
      <c r="F23" s="241"/>
      <c r="G23" s="51"/>
    </row>
    <row r="24" spans="1:7" s="52" customFormat="1" ht="15" thickBot="1" x14ac:dyDescent="0.35">
      <c r="A24" s="111" t="s">
        <v>31</v>
      </c>
      <c r="B24" s="84">
        <f>SUM(B16:B23)</f>
        <v>38</v>
      </c>
      <c r="C24" s="111" t="str">
        <f xml:space="preserve"> setValueToTime(B24)</f>
        <v>3h10min</v>
      </c>
      <c r="D24" s="120"/>
      <c r="E24" s="242"/>
      <c r="F24" s="243"/>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44" t="s">
        <v>18</v>
      </c>
      <c r="F27" s="245"/>
      <c r="G27" s="46"/>
    </row>
    <row r="28" spans="1:7" s="52" customFormat="1" ht="27" x14ac:dyDescent="0.3">
      <c r="A28" s="54" t="s">
        <v>102</v>
      </c>
      <c r="B28" s="54">
        <v>40</v>
      </c>
      <c r="C28" s="154" t="str">
        <f t="shared" ref="C28:C29" si="6" xml:space="preserve"> IF(B28="","",setValueToTime(B28))</f>
        <v>3h20min</v>
      </c>
      <c r="D28" s="175" t="s">
        <v>165</v>
      </c>
      <c r="E28" s="246"/>
      <c r="F28" s="247"/>
      <c r="G28" s="51"/>
    </row>
    <row r="29" spans="1:7" s="52" customFormat="1" x14ac:dyDescent="0.3">
      <c r="A29" s="53" t="s">
        <v>95</v>
      </c>
      <c r="B29" s="54">
        <v>5</v>
      </c>
      <c r="C29" s="153" t="str">
        <f t="shared" si="6"/>
        <v>0h25min</v>
      </c>
      <c r="D29" s="175" t="s">
        <v>108</v>
      </c>
      <c r="E29" s="238"/>
      <c r="F29" s="239"/>
      <c r="G29" s="51"/>
    </row>
    <row r="30" spans="1:7" s="52" customFormat="1" x14ac:dyDescent="0.3">
      <c r="A30" s="53" t="s">
        <v>91</v>
      </c>
      <c r="B30" s="54">
        <v>3</v>
      </c>
      <c r="C30" s="153" t="str">
        <f t="shared" ref="C30" si="7" xml:space="preserve"> IF(B30="","",setValueToTime(B30))</f>
        <v>0h15min</v>
      </c>
      <c r="D30" s="175" t="s">
        <v>109</v>
      </c>
      <c r="E30" s="238"/>
      <c r="F30" s="239"/>
      <c r="G30" s="51"/>
    </row>
    <row r="31" spans="1:7" s="52" customFormat="1" x14ac:dyDescent="0.3">
      <c r="A31" s="53"/>
      <c r="B31" s="54"/>
      <c r="C31" s="153"/>
      <c r="D31" s="55"/>
      <c r="E31" s="238"/>
      <c r="F31" s="239"/>
      <c r="G31" s="51"/>
    </row>
    <row r="32" spans="1:7" s="52" customFormat="1" x14ac:dyDescent="0.3">
      <c r="A32" s="54"/>
      <c r="B32" s="54"/>
      <c r="C32" s="154" t="str">
        <f t="shared" ref="C32:C35" si="8" xml:space="preserve"> IF(B32="","",setValueToTime(B32))</f>
        <v/>
      </c>
      <c r="D32" s="55"/>
      <c r="E32" s="238"/>
      <c r="F32" s="239"/>
      <c r="G32" s="51"/>
    </row>
    <row r="33" spans="1:7" s="52" customFormat="1" x14ac:dyDescent="0.3">
      <c r="A33" s="54"/>
      <c r="B33" s="54"/>
      <c r="C33" s="154" t="str">
        <f t="shared" si="8"/>
        <v/>
      </c>
      <c r="D33" s="55"/>
      <c r="E33" s="238"/>
      <c r="F33" s="239"/>
      <c r="G33" s="51"/>
    </row>
    <row r="34" spans="1:7" s="52" customFormat="1" x14ac:dyDescent="0.3">
      <c r="A34" s="54"/>
      <c r="B34" s="54"/>
      <c r="C34" s="154" t="str">
        <f t="shared" si="8"/>
        <v/>
      </c>
      <c r="D34" s="55"/>
      <c r="E34" s="238"/>
      <c r="F34" s="239"/>
      <c r="G34" s="51"/>
    </row>
    <row r="35" spans="1:7" s="52" customFormat="1" ht="15" thickBot="1" x14ac:dyDescent="0.35">
      <c r="A35" s="56"/>
      <c r="B35" s="56"/>
      <c r="C35" s="155" t="str">
        <f t="shared" si="8"/>
        <v/>
      </c>
      <c r="D35" s="57"/>
      <c r="E35" s="240"/>
      <c r="F35" s="241"/>
      <c r="G35" s="51"/>
    </row>
    <row r="36" spans="1:7" s="52" customFormat="1" ht="15" thickBot="1" x14ac:dyDescent="0.35">
      <c r="A36" s="111" t="s">
        <v>31</v>
      </c>
      <c r="B36" s="84">
        <f>SUM(B28:B35)</f>
        <v>48</v>
      </c>
      <c r="C36" s="111" t="str">
        <f xml:space="preserve"> setValueToTime(B36)</f>
        <v>4h</v>
      </c>
      <c r="D36" s="120"/>
      <c r="E36" s="242"/>
      <c r="F36" s="243"/>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44" t="s">
        <v>18</v>
      </c>
      <c r="F39" s="245"/>
      <c r="G39" s="46"/>
    </row>
    <row r="40" spans="1:7" s="52" customFormat="1" ht="40.5" x14ac:dyDescent="0.3">
      <c r="A40" s="48" t="s">
        <v>100</v>
      </c>
      <c r="B40" s="49">
        <v>10</v>
      </c>
      <c r="C40" s="152" t="str">
        <f xml:space="preserve"> IF(B40="","",setValueToTime(B40))</f>
        <v>0h50min</v>
      </c>
      <c r="D40" s="172" t="s">
        <v>164</v>
      </c>
      <c r="E40" s="246"/>
      <c r="F40" s="247"/>
      <c r="G40" s="51"/>
    </row>
    <row r="41" spans="1:7" s="52" customFormat="1" ht="27" x14ac:dyDescent="0.3">
      <c r="A41" s="53" t="s">
        <v>92</v>
      </c>
      <c r="B41" s="54">
        <v>20</v>
      </c>
      <c r="C41" s="153" t="str">
        <f t="shared" ref="C41:C44" si="9" xml:space="preserve"> IF(B41="","",setValueToTime(B41))</f>
        <v>1h40min</v>
      </c>
      <c r="D41" s="175" t="s">
        <v>166</v>
      </c>
      <c r="E41" s="238"/>
      <c r="F41" s="239"/>
      <c r="G41" s="51"/>
    </row>
    <row r="42" spans="1:7" s="52" customFormat="1" x14ac:dyDescent="0.3">
      <c r="A42" s="53" t="s">
        <v>95</v>
      </c>
      <c r="B42" s="54">
        <v>3</v>
      </c>
      <c r="C42" s="153" t="str">
        <f t="shared" si="9"/>
        <v>0h15min</v>
      </c>
      <c r="D42" s="175" t="s">
        <v>108</v>
      </c>
      <c r="E42" s="238"/>
      <c r="F42" s="239"/>
      <c r="G42" s="51"/>
    </row>
    <row r="43" spans="1:7" s="52" customFormat="1" x14ac:dyDescent="0.3">
      <c r="A43" s="53" t="s">
        <v>101</v>
      </c>
      <c r="B43" s="54">
        <v>2</v>
      </c>
      <c r="C43" s="153" t="str">
        <f t="shared" si="9"/>
        <v>0h10min</v>
      </c>
      <c r="D43" s="175" t="s">
        <v>111</v>
      </c>
      <c r="E43" s="238"/>
      <c r="F43" s="239"/>
      <c r="G43" s="51"/>
    </row>
    <row r="44" spans="1:7" s="52" customFormat="1" x14ac:dyDescent="0.3">
      <c r="A44" s="53" t="s">
        <v>91</v>
      </c>
      <c r="B44" s="54">
        <v>3</v>
      </c>
      <c r="C44" s="153" t="str">
        <f t="shared" si="9"/>
        <v>0h15min</v>
      </c>
      <c r="D44" s="175" t="s">
        <v>109</v>
      </c>
      <c r="E44" s="238"/>
      <c r="F44" s="239"/>
      <c r="G44" s="51"/>
    </row>
    <row r="45" spans="1:7" s="52" customFormat="1" x14ac:dyDescent="0.3">
      <c r="A45" s="54"/>
      <c r="B45" s="54"/>
      <c r="C45" s="154" t="str">
        <f t="shared" ref="C45:C47" si="10" xml:space="preserve"> IF(B45="","",setValueToTime(B45))</f>
        <v/>
      </c>
      <c r="D45" s="55"/>
      <c r="E45" s="238"/>
      <c r="F45" s="239"/>
      <c r="G45" s="51"/>
    </row>
    <row r="46" spans="1:7" s="52" customFormat="1" x14ac:dyDescent="0.3">
      <c r="A46" s="54"/>
      <c r="B46" s="54"/>
      <c r="C46" s="154" t="str">
        <f t="shared" si="10"/>
        <v/>
      </c>
      <c r="D46" s="55"/>
      <c r="E46" s="238"/>
      <c r="F46" s="239"/>
      <c r="G46" s="51"/>
    </row>
    <row r="47" spans="1:7" s="52" customFormat="1" ht="15" thickBot="1" x14ac:dyDescent="0.35">
      <c r="A47" s="56"/>
      <c r="B47" s="56"/>
      <c r="C47" s="155" t="str">
        <f t="shared" si="10"/>
        <v/>
      </c>
      <c r="D47" s="57"/>
      <c r="E47" s="240"/>
      <c r="F47" s="241"/>
      <c r="G47" s="51"/>
    </row>
    <row r="48" spans="1:7" s="52" customFormat="1" ht="15" thickBot="1" x14ac:dyDescent="0.35">
      <c r="A48" s="111" t="s">
        <v>31</v>
      </c>
      <c r="B48" s="84">
        <f>SUM(B40:B47)</f>
        <v>38</v>
      </c>
      <c r="C48" s="111" t="str">
        <f xml:space="preserve"> setValueToTime(B48)</f>
        <v>3h10min</v>
      </c>
      <c r="D48" s="120"/>
      <c r="E48" s="242"/>
      <c r="F48" s="243"/>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44" t="s">
        <v>18</v>
      </c>
      <c r="F51" s="245"/>
      <c r="G51" s="46"/>
    </row>
    <row r="52" spans="1:7" s="52" customFormat="1" ht="40.5" x14ac:dyDescent="0.3">
      <c r="A52" s="48" t="s">
        <v>100</v>
      </c>
      <c r="B52" s="49">
        <v>33</v>
      </c>
      <c r="C52" s="152" t="str">
        <f xml:space="preserve"> IF(B52="","",setValueToTime(B52))</f>
        <v>2h45min</v>
      </c>
      <c r="D52" s="172" t="s">
        <v>164</v>
      </c>
      <c r="E52" s="246"/>
      <c r="F52" s="247"/>
      <c r="G52" s="51"/>
    </row>
    <row r="53" spans="1:7" s="52" customFormat="1" x14ac:dyDescent="0.3">
      <c r="A53" s="53" t="s">
        <v>95</v>
      </c>
      <c r="B53" s="54">
        <v>10</v>
      </c>
      <c r="C53" s="153" t="str">
        <f t="shared" ref="C53:C55" si="11" xml:space="preserve"> IF(B53="","",setValueToTime(B53))</f>
        <v>0h50min</v>
      </c>
      <c r="D53" s="175" t="s">
        <v>108</v>
      </c>
      <c r="E53" s="238"/>
      <c r="F53" s="239"/>
      <c r="G53" s="51"/>
    </row>
    <row r="54" spans="1:7" s="52" customFormat="1" x14ac:dyDescent="0.3">
      <c r="A54" s="53" t="s">
        <v>101</v>
      </c>
      <c r="B54" s="54">
        <v>2</v>
      </c>
      <c r="C54" s="153" t="str">
        <f t="shared" si="11"/>
        <v>0h10min</v>
      </c>
      <c r="D54" s="175" t="s">
        <v>111</v>
      </c>
      <c r="E54" s="238"/>
      <c r="F54" s="239"/>
      <c r="G54" s="51"/>
    </row>
    <row r="55" spans="1:7" s="52" customFormat="1" x14ac:dyDescent="0.3">
      <c r="A55" s="53" t="s">
        <v>91</v>
      </c>
      <c r="B55" s="54">
        <v>3</v>
      </c>
      <c r="C55" s="153" t="str">
        <f t="shared" si="11"/>
        <v>0h15min</v>
      </c>
      <c r="D55" s="175" t="s">
        <v>109</v>
      </c>
      <c r="E55" s="238"/>
      <c r="F55" s="239"/>
      <c r="G55" s="51"/>
    </row>
    <row r="56" spans="1:7" s="52" customFormat="1" x14ac:dyDescent="0.3">
      <c r="A56" s="54"/>
      <c r="B56" s="54"/>
      <c r="C56" s="154" t="str">
        <f t="shared" ref="C56:C59" si="12" xml:space="preserve"> IF(B56="","",setValueToTime(B56))</f>
        <v/>
      </c>
      <c r="D56" s="55"/>
      <c r="E56" s="238"/>
      <c r="F56" s="239"/>
      <c r="G56" s="51"/>
    </row>
    <row r="57" spans="1:7" s="52" customFormat="1" x14ac:dyDescent="0.3">
      <c r="A57" s="54"/>
      <c r="B57" s="54"/>
      <c r="C57" s="154" t="str">
        <f t="shared" si="12"/>
        <v/>
      </c>
      <c r="D57" s="55"/>
      <c r="E57" s="238"/>
      <c r="F57" s="239"/>
      <c r="G57" s="51"/>
    </row>
    <row r="58" spans="1:7" s="52" customFormat="1" x14ac:dyDescent="0.3">
      <c r="A58" s="54"/>
      <c r="B58" s="54"/>
      <c r="C58" s="154" t="str">
        <f t="shared" si="12"/>
        <v/>
      </c>
      <c r="D58" s="55"/>
      <c r="E58" s="238"/>
      <c r="F58" s="239"/>
      <c r="G58" s="51"/>
    </row>
    <row r="59" spans="1:7" s="52" customFormat="1" ht="15" thickBot="1" x14ac:dyDescent="0.35">
      <c r="A59" s="56"/>
      <c r="B59" s="56"/>
      <c r="C59" s="155" t="str">
        <f t="shared" si="12"/>
        <v/>
      </c>
      <c r="D59" s="57"/>
      <c r="E59" s="240"/>
      <c r="F59" s="241"/>
      <c r="G59" s="51"/>
    </row>
    <row r="60" spans="1:7" s="52" customFormat="1" ht="15" thickBot="1" x14ac:dyDescent="0.35">
      <c r="A60" s="111" t="s">
        <v>31</v>
      </c>
      <c r="B60" s="84">
        <f>SUM(B52:B59)</f>
        <v>48</v>
      </c>
      <c r="C60" s="111" t="str">
        <f xml:space="preserve"> setValueToTime(B60)</f>
        <v>4h</v>
      </c>
      <c r="D60" s="120"/>
      <c r="E60" s="242"/>
      <c r="F60" s="243"/>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44" t="s">
        <v>18</v>
      </c>
      <c r="F63" s="245"/>
      <c r="G63" s="46"/>
    </row>
    <row r="64" spans="1:7" s="52" customFormat="1" ht="40.5" x14ac:dyDescent="0.3">
      <c r="A64" s="48" t="s">
        <v>100</v>
      </c>
      <c r="B64" s="49">
        <v>25</v>
      </c>
      <c r="C64" s="152" t="str">
        <f xml:space="preserve"> IF(B64="","",setValueToTime(B64))</f>
        <v>2h5min</v>
      </c>
      <c r="D64" s="172" t="s">
        <v>164</v>
      </c>
      <c r="E64" s="246"/>
      <c r="F64" s="247"/>
      <c r="G64" s="51"/>
    </row>
    <row r="65" spans="1:7" s="52" customFormat="1" x14ac:dyDescent="0.3">
      <c r="A65" s="53" t="s">
        <v>95</v>
      </c>
      <c r="B65" s="54">
        <v>8</v>
      </c>
      <c r="C65" s="153" t="str">
        <f t="shared" ref="C65:C67" si="13" xml:space="preserve"> IF(B65="","",setValueToTime(B65))</f>
        <v>0h40min</v>
      </c>
      <c r="D65" s="175" t="s">
        <v>108</v>
      </c>
      <c r="E65" s="238"/>
      <c r="F65" s="239"/>
      <c r="G65" s="51"/>
    </row>
    <row r="66" spans="1:7" s="52" customFormat="1" x14ac:dyDescent="0.3">
      <c r="A66" s="53" t="s">
        <v>101</v>
      </c>
      <c r="B66" s="54">
        <v>2</v>
      </c>
      <c r="C66" s="153" t="str">
        <f t="shared" si="13"/>
        <v>0h10min</v>
      </c>
      <c r="D66" s="175" t="s">
        <v>111</v>
      </c>
      <c r="E66" s="238"/>
      <c r="F66" s="239"/>
      <c r="G66" s="51"/>
    </row>
    <row r="67" spans="1:7" s="52" customFormat="1" x14ac:dyDescent="0.3">
      <c r="A67" s="53" t="s">
        <v>91</v>
      </c>
      <c r="B67" s="54">
        <v>3</v>
      </c>
      <c r="C67" s="153" t="str">
        <f t="shared" si="13"/>
        <v>0h15min</v>
      </c>
      <c r="D67" s="175" t="s">
        <v>109</v>
      </c>
      <c r="E67" s="238"/>
      <c r="F67" s="239"/>
      <c r="G67" s="51"/>
    </row>
    <row r="68" spans="1:7" s="52" customFormat="1" x14ac:dyDescent="0.3">
      <c r="A68" s="54"/>
      <c r="B68" s="54"/>
      <c r="C68" s="154" t="str">
        <f t="shared" ref="C68:C71" si="14" xml:space="preserve"> IF(B68="","",setValueToTime(B68))</f>
        <v/>
      </c>
      <c r="D68" s="55"/>
      <c r="E68" s="238"/>
      <c r="F68" s="239"/>
      <c r="G68" s="51"/>
    </row>
    <row r="69" spans="1:7" s="52" customFormat="1" x14ac:dyDescent="0.3">
      <c r="A69" s="54"/>
      <c r="B69" s="54"/>
      <c r="C69" s="154" t="str">
        <f t="shared" si="14"/>
        <v/>
      </c>
      <c r="D69" s="55"/>
      <c r="E69" s="238"/>
      <c r="F69" s="239"/>
      <c r="G69" s="51"/>
    </row>
    <row r="70" spans="1:7" s="52" customFormat="1" x14ac:dyDescent="0.3">
      <c r="A70" s="54"/>
      <c r="B70" s="54"/>
      <c r="C70" s="154" t="str">
        <f t="shared" si="14"/>
        <v/>
      </c>
      <c r="D70" s="55"/>
      <c r="E70" s="238"/>
      <c r="F70" s="239"/>
      <c r="G70" s="51"/>
    </row>
    <row r="71" spans="1:7" s="52" customFormat="1" ht="15" thickBot="1" x14ac:dyDescent="0.35">
      <c r="A71" s="56"/>
      <c r="B71" s="56"/>
      <c r="C71" s="155" t="str">
        <f t="shared" si="14"/>
        <v/>
      </c>
      <c r="D71" s="57"/>
      <c r="E71" s="240"/>
      <c r="F71" s="241"/>
      <c r="G71" s="51"/>
    </row>
    <row r="72" spans="1:7" s="52" customFormat="1" ht="15" thickBot="1" x14ac:dyDescent="0.35">
      <c r="A72" s="111" t="s">
        <v>31</v>
      </c>
      <c r="B72" s="84">
        <f>SUM(B64:B71)</f>
        <v>38</v>
      </c>
      <c r="C72" s="111" t="str">
        <f xml:space="preserve"> setValueToTime(B72)</f>
        <v>3h10min</v>
      </c>
      <c r="D72" s="120"/>
      <c r="E72" s="242"/>
      <c r="F72" s="243"/>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44" t="s">
        <v>18</v>
      </c>
      <c r="F75" s="245"/>
      <c r="G75" s="46"/>
    </row>
    <row r="76" spans="1:7" s="52" customFormat="1" ht="40.5" x14ac:dyDescent="0.3">
      <c r="A76" s="48" t="s">
        <v>100</v>
      </c>
      <c r="B76" s="49">
        <v>25</v>
      </c>
      <c r="C76" s="152" t="str">
        <f xml:space="preserve"> IF(B76="","",setValueToTime(B76))</f>
        <v>2h5min</v>
      </c>
      <c r="D76" s="172" t="s">
        <v>164</v>
      </c>
      <c r="E76" s="246"/>
      <c r="F76" s="247"/>
      <c r="G76" s="51"/>
    </row>
    <row r="77" spans="1:7" s="52" customFormat="1" x14ac:dyDescent="0.3">
      <c r="A77" s="53" t="s">
        <v>95</v>
      </c>
      <c r="B77" s="54">
        <v>8</v>
      </c>
      <c r="C77" s="153" t="str">
        <f t="shared" ref="C77:C79" si="15" xml:space="preserve"> IF(B77="","",setValueToTime(B77))</f>
        <v>0h40min</v>
      </c>
      <c r="D77" s="175" t="s">
        <v>108</v>
      </c>
      <c r="E77" s="238"/>
      <c r="F77" s="239"/>
      <c r="G77" s="51"/>
    </row>
    <row r="78" spans="1:7" s="52" customFormat="1" x14ac:dyDescent="0.3">
      <c r="A78" s="53" t="s">
        <v>101</v>
      </c>
      <c r="B78" s="54">
        <v>2</v>
      </c>
      <c r="C78" s="153" t="str">
        <f t="shared" si="15"/>
        <v>0h10min</v>
      </c>
      <c r="D78" s="175" t="s">
        <v>111</v>
      </c>
      <c r="E78" s="238"/>
      <c r="F78" s="239"/>
      <c r="G78" s="51"/>
    </row>
    <row r="79" spans="1:7" s="52" customFormat="1" x14ac:dyDescent="0.3">
      <c r="A79" s="53" t="s">
        <v>91</v>
      </c>
      <c r="B79" s="54">
        <v>3</v>
      </c>
      <c r="C79" s="153" t="str">
        <f t="shared" si="15"/>
        <v>0h15min</v>
      </c>
      <c r="D79" s="175" t="s">
        <v>109</v>
      </c>
      <c r="E79" s="238"/>
      <c r="F79" s="239"/>
      <c r="G79" s="51"/>
    </row>
    <row r="80" spans="1:7" s="52" customFormat="1" x14ac:dyDescent="0.3">
      <c r="A80" s="54"/>
      <c r="B80" s="54"/>
      <c r="C80" s="154" t="str">
        <f t="shared" ref="C80:C83" si="16" xml:space="preserve"> IF(B80="","",setValueToTime(B80))</f>
        <v/>
      </c>
      <c r="D80" s="55"/>
      <c r="E80" s="238"/>
      <c r="F80" s="239"/>
      <c r="G80" s="51"/>
    </row>
    <row r="81" spans="1:7" s="52" customFormat="1" x14ac:dyDescent="0.3">
      <c r="A81" s="54"/>
      <c r="B81" s="54"/>
      <c r="C81" s="154" t="str">
        <f t="shared" si="16"/>
        <v/>
      </c>
      <c r="D81" s="55"/>
      <c r="E81" s="238"/>
      <c r="F81" s="239"/>
      <c r="G81" s="51"/>
    </row>
    <row r="82" spans="1:7" s="52" customFormat="1" x14ac:dyDescent="0.3">
      <c r="A82" s="54"/>
      <c r="B82" s="54"/>
      <c r="C82" s="154" t="str">
        <f t="shared" si="16"/>
        <v/>
      </c>
      <c r="D82" s="55"/>
      <c r="E82" s="238"/>
      <c r="F82" s="239"/>
      <c r="G82" s="51"/>
    </row>
    <row r="83" spans="1:7" s="52" customFormat="1" ht="15" thickBot="1" x14ac:dyDescent="0.35">
      <c r="A83" s="56"/>
      <c r="B83" s="56"/>
      <c r="C83" s="155" t="str">
        <f t="shared" si="16"/>
        <v/>
      </c>
      <c r="D83" s="57"/>
      <c r="E83" s="240"/>
      <c r="F83" s="241"/>
      <c r="G83" s="51"/>
    </row>
    <row r="84" spans="1:7" s="52" customFormat="1" ht="15" thickBot="1" x14ac:dyDescent="0.35">
      <c r="A84" s="111" t="s">
        <v>31</v>
      </c>
      <c r="B84" s="84">
        <f>SUM(B76:B83)</f>
        <v>38</v>
      </c>
      <c r="C84" s="111" t="str">
        <f xml:space="preserve"> setValueToTime(B84)</f>
        <v>3h10min</v>
      </c>
      <c r="D84" s="120"/>
      <c r="E84" s="242"/>
      <c r="F84" s="243"/>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44" t="s">
        <v>18</v>
      </c>
      <c r="F87" s="245"/>
      <c r="G87" s="46"/>
    </row>
    <row r="88" spans="1:7" s="52" customFormat="1" ht="27" x14ac:dyDescent="0.3">
      <c r="A88" s="48" t="s">
        <v>99</v>
      </c>
      <c r="B88" s="49">
        <v>10</v>
      </c>
      <c r="C88" s="152" t="str">
        <f xml:space="preserve"> IF(B88="","",setValueToTime(B88))</f>
        <v>0h50min</v>
      </c>
      <c r="D88" s="172" t="s">
        <v>112</v>
      </c>
      <c r="E88" s="246"/>
      <c r="F88" s="247"/>
      <c r="G88" s="51"/>
    </row>
    <row r="89" spans="1:7" s="52" customFormat="1" x14ac:dyDescent="0.3">
      <c r="A89" s="53" t="s">
        <v>92</v>
      </c>
      <c r="B89" s="54">
        <v>20</v>
      </c>
      <c r="C89" s="153" t="str">
        <f t="shared" ref="C89:C92" si="17" xml:space="preserve"> IF(B89="","",setValueToTime(B89))</f>
        <v>1h40min</v>
      </c>
      <c r="D89" s="175" t="s">
        <v>110</v>
      </c>
      <c r="E89" s="238"/>
      <c r="F89" s="239"/>
      <c r="G89" s="51"/>
    </row>
    <row r="90" spans="1:7" s="52" customFormat="1" x14ac:dyDescent="0.3">
      <c r="A90" s="53" t="s">
        <v>95</v>
      </c>
      <c r="B90" s="54">
        <v>3</v>
      </c>
      <c r="C90" s="153" t="str">
        <f t="shared" si="17"/>
        <v>0h15min</v>
      </c>
      <c r="D90" s="175" t="s">
        <v>108</v>
      </c>
      <c r="E90" s="238"/>
      <c r="F90" s="239"/>
      <c r="G90" s="51"/>
    </row>
    <row r="91" spans="1:7" s="52" customFormat="1" x14ac:dyDescent="0.3">
      <c r="A91" s="53" t="s">
        <v>101</v>
      </c>
      <c r="B91" s="54">
        <v>2</v>
      </c>
      <c r="C91" s="153" t="str">
        <f t="shared" si="17"/>
        <v>0h10min</v>
      </c>
      <c r="D91" s="175" t="s">
        <v>111</v>
      </c>
      <c r="E91" s="238"/>
      <c r="F91" s="239"/>
      <c r="G91" s="51"/>
    </row>
    <row r="92" spans="1:7" s="52" customFormat="1" x14ac:dyDescent="0.3">
      <c r="A92" s="53" t="s">
        <v>91</v>
      </c>
      <c r="B92" s="54">
        <v>3</v>
      </c>
      <c r="C92" s="153" t="str">
        <f t="shared" si="17"/>
        <v>0h15min</v>
      </c>
      <c r="D92" s="175" t="s">
        <v>109</v>
      </c>
      <c r="E92" s="238"/>
      <c r="F92" s="239"/>
      <c r="G92" s="51"/>
    </row>
    <row r="93" spans="1:7" s="52" customFormat="1" x14ac:dyDescent="0.3">
      <c r="A93" s="54"/>
      <c r="B93" s="54"/>
      <c r="C93" s="154" t="str">
        <f t="shared" ref="C93:C95" si="18" xml:space="preserve"> IF(B93="","",setValueToTime(B93))</f>
        <v/>
      </c>
      <c r="D93" s="55"/>
      <c r="E93" s="238"/>
      <c r="F93" s="239"/>
      <c r="G93" s="51"/>
    </row>
    <row r="94" spans="1:7" s="52" customFormat="1" x14ac:dyDescent="0.3">
      <c r="A94" s="54"/>
      <c r="B94" s="54"/>
      <c r="C94" s="154" t="str">
        <f t="shared" si="18"/>
        <v/>
      </c>
      <c r="D94" s="55"/>
      <c r="E94" s="238"/>
      <c r="F94" s="239"/>
      <c r="G94" s="51"/>
    </row>
    <row r="95" spans="1:7" s="52" customFormat="1" ht="15" thickBot="1" x14ac:dyDescent="0.35">
      <c r="A95" s="56"/>
      <c r="B95" s="56"/>
      <c r="C95" s="155" t="str">
        <f t="shared" si="18"/>
        <v/>
      </c>
      <c r="D95" s="57"/>
      <c r="E95" s="240"/>
      <c r="F95" s="241"/>
      <c r="G95" s="51"/>
    </row>
    <row r="96" spans="1:7" s="52" customFormat="1" ht="15" thickBot="1" x14ac:dyDescent="0.35">
      <c r="A96" s="111" t="s">
        <v>31</v>
      </c>
      <c r="B96" s="84">
        <f>SUM(B88:B95)</f>
        <v>38</v>
      </c>
      <c r="C96" s="111" t="str">
        <f xml:space="preserve"> setValueToTime(B96)</f>
        <v>3h10min</v>
      </c>
      <c r="D96" s="120"/>
      <c r="E96" s="242"/>
      <c r="F96" s="243"/>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44" t="s">
        <v>18</v>
      </c>
      <c r="F99" s="245"/>
      <c r="G99" s="46"/>
    </row>
    <row r="100" spans="1:7" s="52" customFormat="1" ht="27" x14ac:dyDescent="0.3">
      <c r="A100" s="48" t="s">
        <v>99</v>
      </c>
      <c r="B100" s="49">
        <v>33</v>
      </c>
      <c r="C100" s="152" t="str">
        <f xml:space="preserve"> IF(B100="","",setValueToTime(B100))</f>
        <v>2h45min</v>
      </c>
      <c r="D100" s="172" t="s">
        <v>112</v>
      </c>
      <c r="E100" s="246"/>
      <c r="F100" s="247"/>
      <c r="G100" s="51"/>
    </row>
    <row r="101" spans="1:7" s="52" customFormat="1" x14ac:dyDescent="0.3">
      <c r="A101" s="53" t="s">
        <v>95</v>
      </c>
      <c r="B101" s="54">
        <v>10</v>
      </c>
      <c r="C101" s="153" t="str">
        <f t="shared" ref="C101:C103" si="19" xml:space="preserve"> IF(B101="","",setValueToTime(B101))</f>
        <v>0h50min</v>
      </c>
      <c r="D101" s="175" t="s">
        <v>108</v>
      </c>
      <c r="E101" s="238"/>
      <c r="F101" s="239"/>
      <c r="G101" s="51"/>
    </row>
    <row r="102" spans="1:7" s="52" customFormat="1" x14ac:dyDescent="0.3">
      <c r="A102" s="53" t="s">
        <v>101</v>
      </c>
      <c r="B102" s="54">
        <v>2</v>
      </c>
      <c r="C102" s="153" t="str">
        <f t="shared" si="19"/>
        <v>0h10min</v>
      </c>
      <c r="D102" s="175" t="s">
        <v>111</v>
      </c>
      <c r="E102" s="238"/>
      <c r="F102" s="239"/>
      <c r="G102" s="51"/>
    </row>
    <row r="103" spans="1:7" s="52" customFormat="1" x14ac:dyDescent="0.3">
      <c r="A103" s="53" t="s">
        <v>91</v>
      </c>
      <c r="B103" s="54">
        <v>3</v>
      </c>
      <c r="C103" s="153" t="str">
        <f t="shared" si="19"/>
        <v>0h15min</v>
      </c>
      <c r="D103" s="175" t="s">
        <v>109</v>
      </c>
      <c r="E103" s="238"/>
      <c r="F103" s="239"/>
      <c r="G103" s="51"/>
    </row>
    <row r="104" spans="1:7" s="52" customFormat="1" x14ac:dyDescent="0.3">
      <c r="A104" s="54"/>
      <c r="B104" s="54"/>
      <c r="C104" s="154" t="str">
        <f t="shared" ref="C104:C107" si="20" xml:space="preserve"> IF(B104="","",setValueToTime(B104))</f>
        <v/>
      </c>
      <c r="D104" s="55"/>
      <c r="E104" s="238"/>
      <c r="F104" s="239"/>
      <c r="G104" s="51"/>
    </row>
    <row r="105" spans="1:7" s="52" customFormat="1" x14ac:dyDescent="0.3">
      <c r="A105" s="54"/>
      <c r="B105" s="54"/>
      <c r="C105" s="154" t="str">
        <f t="shared" si="20"/>
        <v/>
      </c>
      <c r="D105" s="55"/>
      <c r="E105" s="238"/>
      <c r="F105" s="239"/>
      <c r="G105" s="51"/>
    </row>
    <row r="106" spans="1:7" s="52" customFormat="1" x14ac:dyDescent="0.3">
      <c r="A106" s="54"/>
      <c r="B106" s="54"/>
      <c r="C106" s="154" t="str">
        <f t="shared" si="20"/>
        <v/>
      </c>
      <c r="D106" s="55"/>
      <c r="E106" s="238"/>
      <c r="F106" s="239"/>
      <c r="G106" s="51"/>
    </row>
    <row r="107" spans="1:7" s="52" customFormat="1" ht="15" thickBot="1" x14ac:dyDescent="0.35">
      <c r="A107" s="56"/>
      <c r="B107" s="56"/>
      <c r="C107" s="155" t="str">
        <f t="shared" si="20"/>
        <v/>
      </c>
      <c r="D107" s="57"/>
      <c r="E107" s="240"/>
      <c r="F107" s="241"/>
      <c r="G107" s="51"/>
    </row>
    <row r="108" spans="1:7" s="52" customFormat="1" ht="15" thickBot="1" x14ac:dyDescent="0.35">
      <c r="A108" s="111" t="s">
        <v>31</v>
      </c>
      <c r="B108" s="84">
        <f>SUM(B100:B107)</f>
        <v>48</v>
      </c>
      <c r="C108" s="111" t="str">
        <f xml:space="preserve"> setValueToTime(B108)</f>
        <v>4h</v>
      </c>
      <c r="D108" s="120"/>
      <c r="E108" s="242"/>
      <c r="F108" s="243"/>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44" t="s">
        <v>18</v>
      </c>
      <c r="F111" s="245"/>
      <c r="G111" s="46"/>
    </row>
    <row r="112" spans="1:7" s="52" customFormat="1" ht="27" x14ac:dyDescent="0.3">
      <c r="A112" s="48" t="s">
        <v>99</v>
      </c>
      <c r="B112" s="49">
        <v>25</v>
      </c>
      <c r="C112" s="152" t="str">
        <f xml:space="preserve"> IF(B112="","",setValueToTime(B112))</f>
        <v>2h5min</v>
      </c>
      <c r="D112" s="172" t="s">
        <v>112</v>
      </c>
      <c r="E112" s="246"/>
      <c r="F112" s="247"/>
      <c r="G112" s="51"/>
    </row>
    <row r="113" spans="1:7" s="52" customFormat="1" x14ac:dyDescent="0.3">
      <c r="A113" s="53" t="s">
        <v>95</v>
      </c>
      <c r="B113" s="54">
        <v>8</v>
      </c>
      <c r="C113" s="153" t="str">
        <f t="shared" ref="C113:C115" si="21" xml:space="preserve"> IF(B113="","",setValueToTime(B113))</f>
        <v>0h40min</v>
      </c>
      <c r="D113" s="175" t="s">
        <v>108</v>
      </c>
      <c r="E113" s="238"/>
      <c r="F113" s="239"/>
      <c r="G113" s="51"/>
    </row>
    <row r="114" spans="1:7" s="52" customFormat="1" x14ac:dyDescent="0.3">
      <c r="A114" s="53" t="s">
        <v>101</v>
      </c>
      <c r="B114" s="54">
        <v>2</v>
      </c>
      <c r="C114" s="153" t="str">
        <f t="shared" si="21"/>
        <v>0h10min</v>
      </c>
      <c r="D114" s="175" t="s">
        <v>111</v>
      </c>
      <c r="E114" s="238"/>
      <c r="F114" s="239"/>
      <c r="G114" s="51"/>
    </row>
    <row r="115" spans="1:7" s="52" customFormat="1" x14ac:dyDescent="0.3">
      <c r="A115" s="53" t="s">
        <v>91</v>
      </c>
      <c r="B115" s="54">
        <v>3</v>
      </c>
      <c r="C115" s="153" t="str">
        <f t="shared" si="21"/>
        <v>0h15min</v>
      </c>
      <c r="D115" s="175" t="s">
        <v>109</v>
      </c>
      <c r="E115" s="238"/>
      <c r="F115" s="239"/>
      <c r="G115" s="51"/>
    </row>
    <row r="116" spans="1:7" s="52" customFormat="1" x14ac:dyDescent="0.3">
      <c r="A116" s="54"/>
      <c r="B116" s="54"/>
      <c r="C116" s="154" t="str">
        <f t="shared" ref="C116:C119" si="22" xml:space="preserve"> IF(B116="","",setValueToTime(B116))</f>
        <v/>
      </c>
      <c r="D116" s="55"/>
      <c r="E116" s="238"/>
      <c r="F116" s="239"/>
      <c r="G116" s="51"/>
    </row>
    <row r="117" spans="1:7" s="52" customFormat="1" x14ac:dyDescent="0.3">
      <c r="A117" s="54"/>
      <c r="B117" s="54"/>
      <c r="C117" s="154" t="str">
        <f t="shared" si="22"/>
        <v/>
      </c>
      <c r="D117" s="55"/>
      <c r="E117" s="238"/>
      <c r="F117" s="239"/>
      <c r="G117" s="51"/>
    </row>
    <row r="118" spans="1:7" s="52" customFormat="1" x14ac:dyDescent="0.3">
      <c r="A118" s="54"/>
      <c r="B118" s="54"/>
      <c r="C118" s="154" t="str">
        <f t="shared" si="22"/>
        <v/>
      </c>
      <c r="D118" s="55"/>
      <c r="E118" s="238"/>
      <c r="F118" s="239"/>
      <c r="G118" s="51"/>
    </row>
    <row r="119" spans="1:7" s="52" customFormat="1" ht="15" thickBot="1" x14ac:dyDescent="0.35">
      <c r="A119" s="56"/>
      <c r="B119" s="56"/>
      <c r="C119" s="155" t="str">
        <f t="shared" si="22"/>
        <v/>
      </c>
      <c r="D119" s="57"/>
      <c r="E119" s="240"/>
      <c r="F119" s="241"/>
      <c r="G119" s="51"/>
    </row>
    <row r="120" spans="1:7" s="52" customFormat="1" ht="15" thickBot="1" x14ac:dyDescent="0.35">
      <c r="A120" s="111" t="s">
        <v>31</v>
      </c>
      <c r="B120" s="84">
        <f>SUM(B112:B119)</f>
        <v>38</v>
      </c>
      <c r="C120" s="111" t="str">
        <f xml:space="preserve"> setValueToTime(B120)</f>
        <v>3h10min</v>
      </c>
      <c r="D120" s="120"/>
      <c r="E120" s="242"/>
      <c r="F120" s="243"/>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44" t="s">
        <v>18</v>
      </c>
      <c r="F123" s="245"/>
      <c r="G123" s="46"/>
    </row>
    <row r="124" spans="1:7" s="52" customFormat="1" ht="27" x14ac:dyDescent="0.3">
      <c r="A124" s="48" t="s">
        <v>99</v>
      </c>
      <c r="B124" s="49">
        <v>33</v>
      </c>
      <c r="C124" s="152" t="str">
        <f xml:space="preserve"> IF(B124="","",setValueToTime(B124))</f>
        <v>2h45min</v>
      </c>
      <c r="D124" s="172" t="s">
        <v>112</v>
      </c>
      <c r="E124" s="246"/>
      <c r="F124" s="247"/>
      <c r="G124" s="51"/>
    </row>
    <row r="125" spans="1:7" s="52" customFormat="1" x14ac:dyDescent="0.3">
      <c r="A125" s="53" t="s">
        <v>95</v>
      </c>
      <c r="B125" s="54">
        <v>10</v>
      </c>
      <c r="C125" s="153" t="str">
        <f t="shared" ref="C125:C127" si="23" xml:space="preserve"> IF(B125="","",setValueToTime(B125))</f>
        <v>0h50min</v>
      </c>
      <c r="D125" s="175" t="s">
        <v>108</v>
      </c>
      <c r="E125" s="238"/>
      <c r="F125" s="239"/>
      <c r="G125" s="51"/>
    </row>
    <row r="126" spans="1:7" s="52" customFormat="1" x14ac:dyDescent="0.3">
      <c r="A126" s="53" t="s">
        <v>101</v>
      </c>
      <c r="B126" s="54">
        <v>2</v>
      </c>
      <c r="C126" s="153" t="str">
        <f t="shared" si="23"/>
        <v>0h10min</v>
      </c>
      <c r="D126" s="175" t="s">
        <v>111</v>
      </c>
      <c r="E126" s="238"/>
      <c r="F126" s="239"/>
      <c r="G126" s="51"/>
    </row>
    <row r="127" spans="1:7" s="52" customFormat="1" x14ac:dyDescent="0.3">
      <c r="A127" s="53" t="s">
        <v>91</v>
      </c>
      <c r="B127" s="54">
        <v>3</v>
      </c>
      <c r="C127" s="153" t="str">
        <f t="shared" si="23"/>
        <v>0h15min</v>
      </c>
      <c r="D127" s="175" t="s">
        <v>109</v>
      </c>
      <c r="E127" s="238"/>
      <c r="F127" s="239"/>
      <c r="G127" s="51"/>
    </row>
    <row r="128" spans="1:7" s="52" customFormat="1" x14ac:dyDescent="0.3">
      <c r="A128" s="54"/>
      <c r="B128" s="54"/>
      <c r="C128" s="154" t="str">
        <f t="shared" ref="C128:C131" si="24" xml:space="preserve"> IF(B128="","",setValueToTime(B128))</f>
        <v/>
      </c>
      <c r="D128" s="55"/>
      <c r="E128" s="238"/>
      <c r="F128" s="239"/>
      <c r="G128" s="51"/>
    </row>
    <row r="129" spans="1:7" s="52" customFormat="1" x14ac:dyDescent="0.3">
      <c r="A129" s="54"/>
      <c r="B129" s="54"/>
      <c r="C129" s="154" t="str">
        <f t="shared" si="24"/>
        <v/>
      </c>
      <c r="D129" s="55"/>
      <c r="E129" s="238"/>
      <c r="F129" s="239"/>
      <c r="G129" s="51"/>
    </row>
    <row r="130" spans="1:7" s="52" customFormat="1" x14ac:dyDescent="0.3">
      <c r="A130" s="54"/>
      <c r="B130" s="54"/>
      <c r="C130" s="154" t="str">
        <f t="shared" si="24"/>
        <v/>
      </c>
      <c r="D130" s="55"/>
      <c r="E130" s="238"/>
      <c r="F130" s="239"/>
      <c r="G130" s="51"/>
    </row>
    <row r="131" spans="1:7" s="52" customFormat="1" ht="15" thickBot="1" x14ac:dyDescent="0.35">
      <c r="A131" s="56"/>
      <c r="B131" s="56"/>
      <c r="C131" s="155" t="str">
        <f t="shared" si="24"/>
        <v/>
      </c>
      <c r="D131" s="57"/>
      <c r="E131" s="240"/>
      <c r="F131" s="241"/>
      <c r="G131" s="51"/>
    </row>
    <row r="132" spans="1:7" s="52" customFormat="1" ht="15" thickBot="1" x14ac:dyDescent="0.35">
      <c r="A132" s="111" t="s">
        <v>31</v>
      </c>
      <c r="B132" s="84">
        <f>SUM(B124:B131)</f>
        <v>48</v>
      </c>
      <c r="C132" s="111" t="str">
        <f xml:space="preserve"> setValueToTime(B132)</f>
        <v>4h</v>
      </c>
      <c r="D132" s="120"/>
      <c r="E132" s="242"/>
      <c r="F132" s="243"/>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44" t="s">
        <v>18</v>
      </c>
      <c r="F135" s="245"/>
      <c r="G135" s="46"/>
    </row>
    <row r="136" spans="1:7" s="52" customFormat="1" ht="27" x14ac:dyDescent="0.3">
      <c r="A136" s="48" t="s">
        <v>99</v>
      </c>
      <c r="B136" s="49">
        <v>25</v>
      </c>
      <c r="C136" s="152" t="str">
        <f xml:space="preserve"> IF(B136="","",setValueToTime(B136))</f>
        <v>2h5min</v>
      </c>
      <c r="D136" s="172" t="s">
        <v>112</v>
      </c>
      <c r="E136" s="246"/>
      <c r="F136" s="247"/>
      <c r="G136" s="51"/>
    </row>
    <row r="137" spans="1:7" s="52" customFormat="1" x14ac:dyDescent="0.3">
      <c r="A137" s="53" t="s">
        <v>95</v>
      </c>
      <c r="B137" s="54">
        <v>8</v>
      </c>
      <c r="C137" s="153" t="str">
        <f t="shared" ref="C137:C139" si="25" xml:space="preserve"> IF(B137="","",setValueToTime(B137))</f>
        <v>0h40min</v>
      </c>
      <c r="D137" s="175" t="s">
        <v>108</v>
      </c>
      <c r="E137" s="238"/>
      <c r="F137" s="239"/>
      <c r="G137" s="51"/>
    </row>
    <row r="138" spans="1:7" s="52" customFormat="1" x14ac:dyDescent="0.3">
      <c r="A138" s="53" t="s">
        <v>101</v>
      </c>
      <c r="B138" s="54">
        <v>2</v>
      </c>
      <c r="C138" s="153" t="str">
        <f t="shared" si="25"/>
        <v>0h10min</v>
      </c>
      <c r="D138" s="175" t="s">
        <v>111</v>
      </c>
      <c r="E138" s="238"/>
      <c r="F138" s="239"/>
      <c r="G138" s="51"/>
    </row>
    <row r="139" spans="1:7" s="52" customFormat="1" x14ac:dyDescent="0.3">
      <c r="A139" s="53" t="s">
        <v>91</v>
      </c>
      <c r="B139" s="54">
        <v>3</v>
      </c>
      <c r="C139" s="153" t="str">
        <f t="shared" si="25"/>
        <v>0h15min</v>
      </c>
      <c r="D139" s="175" t="s">
        <v>109</v>
      </c>
      <c r="E139" s="238"/>
      <c r="F139" s="239"/>
      <c r="G139" s="51"/>
    </row>
    <row r="140" spans="1:7" s="52" customFormat="1" x14ac:dyDescent="0.3">
      <c r="A140" s="54"/>
      <c r="B140" s="54"/>
      <c r="C140" s="154" t="str">
        <f t="shared" ref="C140:C143" si="26" xml:space="preserve"> IF(B140="","",setValueToTime(B140))</f>
        <v/>
      </c>
      <c r="D140" s="55"/>
      <c r="E140" s="238"/>
      <c r="F140" s="239"/>
      <c r="G140" s="51"/>
    </row>
    <row r="141" spans="1:7" s="52" customFormat="1" x14ac:dyDescent="0.3">
      <c r="A141" s="54"/>
      <c r="B141" s="54"/>
      <c r="C141" s="154" t="str">
        <f t="shared" si="26"/>
        <v/>
      </c>
      <c r="D141" s="55"/>
      <c r="E141" s="238"/>
      <c r="F141" s="239"/>
      <c r="G141" s="51"/>
    </row>
    <row r="142" spans="1:7" s="52" customFormat="1" x14ac:dyDescent="0.3">
      <c r="A142" s="54"/>
      <c r="B142" s="54"/>
      <c r="C142" s="154" t="str">
        <f t="shared" si="26"/>
        <v/>
      </c>
      <c r="D142" s="55"/>
      <c r="E142" s="238"/>
      <c r="F142" s="239"/>
      <c r="G142" s="51"/>
    </row>
    <row r="143" spans="1:7" s="52" customFormat="1" ht="15" thickBot="1" x14ac:dyDescent="0.35">
      <c r="A143" s="56"/>
      <c r="B143" s="56"/>
      <c r="C143" s="155" t="str">
        <f t="shared" si="26"/>
        <v/>
      </c>
      <c r="D143" s="57"/>
      <c r="E143" s="240"/>
      <c r="F143" s="241"/>
      <c r="G143" s="51"/>
    </row>
    <row r="144" spans="1:7" s="52" customFormat="1" ht="15" thickBot="1" x14ac:dyDescent="0.35">
      <c r="A144" s="111" t="s">
        <v>31</v>
      </c>
      <c r="B144" s="84">
        <f>SUM(B136:B143)</f>
        <v>38</v>
      </c>
      <c r="C144" s="111" t="str">
        <f xml:space="preserve"> setValueToTime(B144)</f>
        <v>3h10min</v>
      </c>
      <c r="D144" s="120"/>
      <c r="E144" s="242"/>
      <c r="F144" s="243"/>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44" t="s">
        <v>18</v>
      </c>
      <c r="F147" s="245"/>
      <c r="G147" s="46"/>
    </row>
    <row r="148" spans="1:7" s="52" customFormat="1" ht="27" x14ac:dyDescent="0.3">
      <c r="A148" s="48" t="s">
        <v>98</v>
      </c>
      <c r="B148" s="49">
        <v>10</v>
      </c>
      <c r="C148" s="152" t="str">
        <f xml:space="preserve"> IF(B148="","",setValueToTime(B148))</f>
        <v>0h50min</v>
      </c>
      <c r="D148" s="172" t="s">
        <v>162</v>
      </c>
      <c r="E148" s="246"/>
      <c r="F148" s="247"/>
      <c r="G148" s="51"/>
    </row>
    <row r="149" spans="1:7" s="52" customFormat="1" ht="27" x14ac:dyDescent="0.3">
      <c r="A149" s="53" t="s">
        <v>92</v>
      </c>
      <c r="B149" s="54">
        <v>20</v>
      </c>
      <c r="C149" s="153" t="str">
        <f t="shared" ref="C149:C152" si="27" xml:space="preserve"> IF(B149="","",setValueToTime(B149))</f>
        <v>1h40min</v>
      </c>
      <c r="D149" s="175" t="s">
        <v>163</v>
      </c>
      <c r="E149" s="238"/>
      <c r="F149" s="239"/>
      <c r="G149" s="51"/>
    </row>
    <row r="150" spans="1:7" s="52" customFormat="1" x14ac:dyDescent="0.3">
      <c r="A150" s="53" t="s">
        <v>95</v>
      </c>
      <c r="B150" s="54">
        <v>3</v>
      </c>
      <c r="C150" s="153" t="str">
        <f t="shared" si="27"/>
        <v>0h15min</v>
      </c>
      <c r="D150" s="175" t="s">
        <v>108</v>
      </c>
      <c r="E150" s="238"/>
      <c r="F150" s="239"/>
      <c r="G150" s="51"/>
    </row>
    <row r="151" spans="1:7" s="52" customFormat="1" x14ac:dyDescent="0.3">
      <c r="A151" s="53" t="s">
        <v>101</v>
      </c>
      <c r="B151" s="54">
        <v>2</v>
      </c>
      <c r="C151" s="153" t="str">
        <f t="shared" si="27"/>
        <v>0h10min</v>
      </c>
      <c r="D151" s="175" t="s">
        <v>161</v>
      </c>
      <c r="E151" s="238"/>
      <c r="F151" s="239"/>
      <c r="G151" s="51"/>
    </row>
    <row r="152" spans="1:7" s="52" customFormat="1" x14ac:dyDescent="0.3">
      <c r="A152" s="53" t="s">
        <v>91</v>
      </c>
      <c r="B152" s="54">
        <v>3</v>
      </c>
      <c r="C152" s="153" t="str">
        <f t="shared" si="27"/>
        <v>0h15min</v>
      </c>
      <c r="D152" s="175" t="s">
        <v>109</v>
      </c>
      <c r="E152" s="238"/>
      <c r="F152" s="239"/>
      <c r="G152" s="51"/>
    </row>
    <row r="153" spans="1:7" s="52" customFormat="1" x14ac:dyDescent="0.3">
      <c r="A153" s="54"/>
      <c r="B153" s="54"/>
      <c r="C153" s="154" t="str">
        <f t="shared" ref="C153:C155" si="28" xml:space="preserve"> IF(B153="","",setValueToTime(B153))</f>
        <v/>
      </c>
      <c r="D153" s="55"/>
      <c r="E153" s="238"/>
      <c r="F153" s="239"/>
      <c r="G153" s="51"/>
    </row>
    <row r="154" spans="1:7" s="52" customFormat="1" x14ac:dyDescent="0.3">
      <c r="A154" s="54"/>
      <c r="B154" s="54"/>
      <c r="C154" s="154" t="str">
        <f t="shared" si="28"/>
        <v/>
      </c>
      <c r="D154" s="55"/>
      <c r="E154" s="238"/>
      <c r="F154" s="239"/>
      <c r="G154" s="51"/>
    </row>
    <row r="155" spans="1:7" s="52" customFormat="1" ht="15" thickBot="1" x14ac:dyDescent="0.35">
      <c r="A155" s="56"/>
      <c r="B155" s="56"/>
      <c r="C155" s="155" t="str">
        <f t="shared" si="28"/>
        <v/>
      </c>
      <c r="D155" s="57"/>
      <c r="E155" s="240"/>
      <c r="F155" s="241"/>
      <c r="G155" s="51"/>
    </row>
    <row r="156" spans="1:7" s="52" customFormat="1" ht="15" thickBot="1" x14ac:dyDescent="0.35">
      <c r="A156" s="111" t="s">
        <v>31</v>
      </c>
      <c r="B156" s="84">
        <f>SUM(B148:B155)</f>
        <v>38</v>
      </c>
      <c r="C156" s="111" t="str">
        <f xml:space="preserve"> setValueToTime(B156)</f>
        <v>3h10min</v>
      </c>
      <c r="D156" s="120"/>
      <c r="E156" s="242"/>
      <c r="F156" s="243"/>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44" t="s">
        <v>18</v>
      </c>
      <c r="F159" s="245"/>
      <c r="G159" s="46"/>
    </row>
    <row r="160" spans="1:7" s="52" customFormat="1" ht="27" x14ac:dyDescent="0.3">
      <c r="A160" s="48" t="s">
        <v>98</v>
      </c>
      <c r="B160" s="49">
        <v>25</v>
      </c>
      <c r="C160" s="152" t="str">
        <f xml:space="preserve"> IF(B160="","",setValueToTime(B160))</f>
        <v>2h5min</v>
      </c>
      <c r="D160" s="172" t="s">
        <v>162</v>
      </c>
      <c r="E160" s="246"/>
      <c r="F160" s="247"/>
      <c r="G160" s="51"/>
    </row>
    <row r="161" spans="1:7" s="52" customFormat="1" x14ac:dyDescent="0.3">
      <c r="A161" s="53" t="s">
        <v>95</v>
      </c>
      <c r="B161" s="54">
        <v>8</v>
      </c>
      <c r="C161" s="153" t="str">
        <f t="shared" ref="C161:C163" si="29" xml:space="preserve"> IF(B161="","",setValueToTime(B161))</f>
        <v>0h40min</v>
      </c>
      <c r="D161" s="175" t="s">
        <v>108</v>
      </c>
      <c r="E161" s="238"/>
      <c r="F161" s="239"/>
      <c r="G161" s="51"/>
    </row>
    <row r="162" spans="1:7" s="52" customFormat="1" x14ac:dyDescent="0.3">
      <c r="A162" s="53" t="s">
        <v>101</v>
      </c>
      <c r="B162" s="54">
        <v>2</v>
      </c>
      <c r="C162" s="153" t="str">
        <f t="shared" si="29"/>
        <v>0h10min</v>
      </c>
      <c r="D162" s="175" t="s">
        <v>161</v>
      </c>
      <c r="E162" s="238"/>
      <c r="F162" s="239"/>
      <c r="G162" s="51"/>
    </row>
    <row r="163" spans="1:7" s="52" customFormat="1" x14ac:dyDescent="0.3">
      <c r="A163" s="53" t="s">
        <v>91</v>
      </c>
      <c r="B163" s="54">
        <v>3</v>
      </c>
      <c r="C163" s="153" t="str">
        <f t="shared" si="29"/>
        <v>0h15min</v>
      </c>
      <c r="D163" s="175" t="s">
        <v>109</v>
      </c>
      <c r="E163" s="238"/>
      <c r="F163" s="239"/>
      <c r="G163" s="51"/>
    </row>
    <row r="164" spans="1:7" s="52" customFormat="1" x14ac:dyDescent="0.3">
      <c r="A164" s="54"/>
      <c r="B164" s="54"/>
      <c r="C164" s="154" t="str">
        <f t="shared" ref="C164:C167" si="30" xml:space="preserve"> IF(B164="","",setValueToTime(B164))</f>
        <v/>
      </c>
      <c r="D164" s="55"/>
      <c r="E164" s="238"/>
      <c r="F164" s="239"/>
      <c r="G164" s="51"/>
    </row>
    <row r="165" spans="1:7" s="52" customFormat="1" x14ac:dyDescent="0.3">
      <c r="A165" s="54"/>
      <c r="B165" s="54"/>
      <c r="C165" s="154" t="str">
        <f t="shared" si="30"/>
        <v/>
      </c>
      <c r="D165" s="55"/>
      <c r="E165" s="238"/>
      <c r="F165" s="239"/>
      <c r="G165" s="51"/>
    </row>
    <row r="166" spans="1:7" s="52" customFormat="1" x14ac:dyDescent="0.3">
      <c r="A166" s="54"/>
      <c r="B166" s="54"/>
      <c r="C166" s="154" t="str">
        <f t="shared" si="30"/>
        <v/>
      </c>
      <c r="D166" s="55"/>
      <c r="E166" s="238"/>
      <c r="F166" s="239"/>
      <c r="G166" s="51"/>
    </row>
    <row r="167" spans="1:7" s="52" customFormat="1" ht="15" thickBot="1" x14ac:dyDescent="0.35">
      <c r="A167" s="56"/>
      <c r="B167" s="56"/>
      <c r="C167" s="155" t="str">
        <f t="shared" si="30"/>
        <v/>
      </c>
      <c r="D167" s="57"/>
      <c r="E167" s="240"/>
      <c r="F167" s="241"/>
      <c r="G167" s="51"/>
    </row>
    <row r="168" spans="1:7" s="52" customFormat="1" ht="15" thickBot="1" x14ac:dyDescent="0.35">
      <c r="A168" s="111" t="s">
        <v>31</v>
      </c>
      <c r="B168" s="84">
        <f>SUM(B160:B167)</f>
        <v>38</v>
      </c>
      <c r="C168" s="111" t="str">
        <f xml:space="preserve"> setValueToTime(B168)</f>
        <v>3h10min</v>
      </c>
      <c r="D168" s="120"/>
      <c r="E168" s="242"/>
      <c r="F168" s="243"/>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44" t="s">
        <v>18</v>
      </c>
      <c r="F171" s="245"/>
      <c r="G171" s="46"/>
    </row>
    <row r="172" spans="1:7" s="52" customFormat="1" ht="27" x14ac:dyDescent="0.3">
      <c r="A172" s="48" t="s">
        <v>98</v>
      </c>
      <c r="B172" s="49">
        <v>33</v>
      </c>
      <c r="C172" s="152" t="str">
        <f xml:space="preserve"> IF(B172="","",setValueToTime(B172))</f>
        <v>2h45min</v>
      </c>
      <c r="D172" s="172" t="s">
        <v>162</v>
      </c>
      <c r="E172" s="246"/>
      <c r="F172" s="247"/>
      <c r="G172" s="51"/>
    </row>
    <row r="173" spans="1:7" s="52" customFormat="1" x14ac:dyDescent="0.3">
      <c r="A173" s="53" t="s">
        <v>95</v>
      </c>
      <c r="B173" s="54">
        <v>10</v>
      </c>
      <c r="C173" s="153" t="str">
        <f t="shared" ref="C173:C175" si="31" xml:space="preserve"> IF(B173="","",setValueToTime(B173))</f>
        <v>0h50min</v>
      </c>
      <c r="D173" s="175" t="s">
        <v>108</v>
      </c>
      <c r="E173" s="238"/>
      <c r="F173" s="239"/>
      <c r="G173" s="51"/>
    </row>
    <row r="174" spans="1:7" s="52" customFormat="1" x14ac:dyDescent="0.3">
      <c r="A174" s="53" t="s">
        <v>101</v>
      </c>
      <c r="B174" s="54">
        <v>2</v>
      </c>
      <c r="C174" s="153" t="str">
        <f t="shared" si="31"/>
        <v>0h10min</v>
      </c>
      <c r="D174" s="175" t="s">
        <v>161</v>
      </c>
      <c r="E174" s="238"/>
      <c r="F174" s="239"/>
      <c r="G174" s="51"/>
    </row>
    <row r="175" spans="1:7" s="52" customFormat="1" x14ac:dyDescent="0.3">
      <c r="A175" s="53" t="s">
        <v>91</v>
      </c>
      <c r="B175" s="54">
        <v>3</v>
      </c>
      <c r="C175" s="153" t="str">
        <f t="shared" si="31"/>
        <v>0h15min</v>
      </c>
      <c r="D175" s="175" t="s">
        <v>109</v>
      </c>
      <c r="E175" s="238"/>
      <c r="F175" s="239"/>
      <c r="G175" s="51"/>
    </row>
    <row r="176" spans="1:7" s="52" customFormat="1" x14ac:dyDescent="0.3">
      <c r="A176" s="54"/>
      <c r="B176" s="54"/>
      <c r="C176" s="154" t="str">
        <f t="shared" ref="C176:C179" si="32" xml:space="preserve"> IF(B176="","",setValueToTime(B176))</f>
        <v/>
      </c>
      <c r="D176" s="55"/>
      <c r="E176" s="238"/>
      <c r="F176" s="239"/>
      <c r="G176" s="51"/>
    </row>
    <row r="177" spans="1:7" s="52" customFormat="1" x14ac:dyDescent="0.3">
      <c r="A177" s="54"/>
      <c r="B177" s="54"/>
      <c r="C177" s="154" t="str">
        <f t="shared" si="32"/>
        <v/>
      </c>
      <c r="D177" s="55"/>
      <c r="E177" s="238"/>
      <c r="F177" s="239"/>
      <c r="G177" s="51"/>
    </row>
    <row r="178" spans="1:7" s="52" customFormat="1" x14ac:dyDescent="0.3">
      <c r="A178" s="54"/>
      <c r="B178" s="54"/>
      <c r="C178" s="154" t="str">
        <f t="shared" si="32"/>
        <v/>
      </c>
      <c r="D178" s="55"/>
      <c r="E178" s="238"/>
      <c r="F178" s="239"/>
      <c r="G178" s="51"/>
    </row>
    <row r="179" spans="1:7" s="52" customFormat="1" ht="15" thickBot="1" x14ac:dyDescent="0.35">
      <c r="A179" s="56"/>
      <c r="B179" s="56"/>
      <c r="C179" s="155" t="str">
        <f t="shared" si="32"/>
        <v/>
      </c>
      <c r="D179" s="57"/>
      <c r="E179" s="240"/>
      <c r="F179" s="241"/>
      <c r="G179" s="51"/>
    </row>
    <row r="180" spans="1:7" s="52" customFormat="1" ht="15" thickBot="1" x14ac:dyDescent="0.35">
      <c r="A180" s="111" t="s">
        <v>31</v>
      </c>
      <c r="B180" s="84">
        <f>SUM(B172:B179)</f>
        <v>48</v>
      </c>
      <c r="C180" s="111" t="str">
        <f xml:space="preserve"> setValueToTime(B180)</f>
        <v>4h</v>
      </c>
      <c r="D180" s="120"/>
      <c r="E180" s="242"/>
      <c r="F180" s="243"/>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44" t="s">
        <v>18</v>
      </c>
      <c r="F183" s="245"/>
      <c r="G183" s="46"/>
    </row>
    <row r="184" spans="1:7" s="52" customFormat="1" ht="27" x14ac:dyDescent="0.3">
      <c r="A184" s="48" t="s">
        <v>97</v>
      </c>
      <c r="B184" s="49">
        <v>10</v>
      </c>
      <c r="C184" s="152" t="str">
        <f xml:space="preserve"> IF(B184="","",setValueToTime(B184))</f>
        <v>0h50min</v>
      </c>
      <c r="D184" s="172" t="s">
        <v>160</v>
      </c>
      <c r="E184" s="246"/>
      <c r="F184" s="247"/>
      <c r="G184" s="51"/>
    </row>
    <row r="185" spans="1:7" s="52" customFormat="1" x14ac:dyDescent="0.3">
      <c r="A185" s="53" t="s">
        <v>92</v>
      </c>
      <c r="B185" s="54">
        <v>15</v>
      </c>
      <c r="C185" s="153" t="str">
        <f t="shared" ref="C185:C188" si="33" xml:space="preserve"> IF(B185="","",setValueToTime(B185))</f>
        <v>1h15min</v>
      </c>
      <c r="D185" s="175" t="s">
        <v>110</v>
      </c>
      <c r="E185" s="238"/>
      <c r="F185" s="239"/>
      <c r="G185" s="51"/>
    </row>
    <row r="186" spans="1:7" s="52" customFormat="1" x14ac:dyDescent="0.3">
      <c r="A186" s="53" t="s">
        <v>95</v>
      </c>
      <c r="B186" s="54">
        <v>8</v>
      </c>
      <c r="C186" s="153" t="str">
        <f t="shared" si="33"/>
        <v>0h40min</v>
      </c>
      <c r="D186" s="175" t="s">
        <v>108</v>
      </c>
      <c r="E186" s="238"/>
      <c r="F186" s="239"/>
      <c r="G186" s="51"/>
    </row>
    <row r="187" spans="1:7" s="52" customFormat="1" x14ac:dyDescent="0.3">
      <c r="A187" s="53" t="s">
        <v>101</v>
      </c>
      <c r="B187" s="54">
        <v>2</v>
      </c>
      <c r="C187" s="153" t="str">
        <f t="shared" si="33"/>
        <v>0h10min</v>
      </c>
      <c r="D187" s="175" t="s">
        <v>161</v>
      </c>
      <c r="E187" s="238"/>
      <c r="F187" s="239"/>
      <c r="G187" s="51"/>
    </row>
    <row r="188" spans="1:7" s="52" customFormat="1" x14ac:dyDescent="0.3">
      <c r="A188" s="53" t="s">
        <v>91</v>
      </c>
      <c r="B188" s="54">
        <v>3</v>
      </c>
      <c r="C188" s="153" t="str">
        <f t="shared" si="33"/>
        <v>0h15min</v>
      </c>
      <c r="D188" s="175" t="s">
        <v>109</v>
      </c>
      <c r="E188" s="238"/>
      <c r="F188" s="239"/>
      <c r="G188" s="51"/>
    </row>
    <row r="189" spans="1:7" s="52" customFormat="1" x14ac:dyDescent="0.3">
      <c r="A189" s="54"/>
      <c r="B189" s="54"/>
      <c r="C189" s="154" t="str">
        <f t="shared" ref="C189:C191" si="34" xml:space="preserve"> IF(B189="","",setValueToTime(B189))</f>
        <v/>
      </c>
      <c r="D189" s="55"/>
      <c r="E189" s="238"/>
      <c r="F189" s="239"/>
      <c r="G189" s="51"/>
    </row>
    <row r="190" spans="1:7" s="52" customFormat="1" x14ac:dyDescent="0.3">
      <c r="A190" s="54"/>
      <c r="B190" s="54"/>
      <c r="C190" s="154" t="str">
        <f t="shared" si="34"/>
        <v/>
      </c>
      <c r="D190" s="55"/>
      <c r="E190" s="238"/>
      <c r="F190" s="239"/>
      <c r="G190" s="51"/>
    </row>
    <row r="191" spans="1:7" s="52" customFormat="1" ht="15" thickBot="1" x14ac:dyDescent="0.35">
      <c r="A191" s="56"/>
      <c r="B191" s="56"/>
      <c r="C191" s="155" t="str">
        <f t="shared" si="34"/>
        <v/>
      </c>
      <c r="D191" s="57"/>
      <c r="E191" s="240"/>
      <c r="F191" s="241"/>
      <c r="G191" s="51"/>
    </row>
    <row r="192" spans="1:7" s="52" customFormat="1" ht="15" thickBot="1" x14ac:dyDescent="0.35">
      <c r="A192" s="111" t="s">
        <v>31</v>
      </c>
      <c r="B192" s="84">
        <f>SUM(B184:B191)</f>
        <v>38</v>
      </c>
      <c r="C192" s="111" t="str">
        <f xml:space="preserve"> setValueToTime(B192)</f>
        <v>3h10min</v>
      </c>
      <c r="D192" s="120"/>
      <c r="E192" s="242"/>
      <c r="F192" s="243"/>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44" t="s">
        <v>18</v>
      </c>
      <c r="F195" s="245"/>
      <c r="G195" s="46"/>
    </row>
    <row r="196" spans="1:7" s="52" customFormat="1" ht="27" x14ac:dyDescent="0.3">
      <c r="A196" s="48" t="s">
        <v>97</v>
      </c>
      <c r="B196" s="49">
        <v>33</v>
      </c>
      <c r="C196" s="152" t="str">
        <f xml:space="preserve"> IF(B196="","",setValueToTime(B196))</f>
        <v>2h45min</v>
      </c>
      <c r="D196" s="172" t="s">
        <v>160</v>
      </c>
      <c r="E196" s="246"/>
      <c r="F196" s="247"/>
      <c r="G196" s="51"/>
    </row>
    <row r="197" spans="1:7" s="52" customFormat="1" x14ac:dyDescent="0.3">
      <c r="A197" s="53" t="s">
        <v>95</v>
      </c>
      <c r="B197" s="54">
        <v>10</v>
      </c>
      <c r="C197" s="153" t="str">
        <f t="shared" ref="C197:C199" si="35" xml:space="preserve"> IF(B197="","",setValueToTime(B197))</f>
        <v>0h50min</v>
      </c>
      <c r="D197" s="175" t="s">
        <v>108</v>
      </c>
      <c r="E197" s="238"/>
      <c r="F197" s="239"/>
      <c r="G197" s="51"/>
    </row>
    <row r="198" spans="1:7" s="52" customFormat="1" x14ac:dyDescent="0.3">
      <c r="A198" s="53" t="s">
        <v>101</v>
      </c>
      <c r="B198" s="54">
        <v>2</v>
      </c>
      <c r="C198" s="153" t="str">
        <f t="shared" si="35"/>
        <v>0h10min</v>
      </c>
      <c r="D198" s="175" t="s">
        <v>161</v>
      </c>
      <c r="E198" s="238"/>
      <c r="F198" s="239"/>
      <c r="G198" s="51"/>
    </row>
    <row r="199" spans="1:7" s="52" customFormat="1" x14ac:dyDescent="0.3">
      <c r="A199" s="53" t="s">
        <v>91</v>
      </c>
      <c r="B199" s="54">
        <v>3</v>
      </c>
      <c r="C199" s="153" t="str">
        <f t="shared" si="35"/>
        <v>0h15min</v>
      </c>
      <c r="D199" s="175" t="s">
        <v>109</v>
      </c>
      <c r="E199" s="238"/>
      <c r="F199" s="239"/>
      <c r="G199" s="51"/>
    </row>
    <row r="200" spans="1:7" s="52" customFormat="1" x14ac:dyDescent="0.3">
      <c r="A200" s="54"/>
      <c r="B200" s="54"/>
      <c r="C200" s="154" t="str">
        <f t="shared" ref="C200:C203" si="36" xml:space="preserve"> IF(B200="","",setValueToTime(B200))</f>
        <v/>
      </c>
      <c r="D200" s="55"/>
      <c r="E200" s="238"/>
      <c r="F200" s="239"/>
      <c r="G200" s="51"/>
    </row>
    <row r="201" spans="1:7" s="52" customFormat="1" x14ac:dyDescent="0.3">
      <c r="A201" s="54"/>
      <c r="B201" s="54"/>
      <c r="C201" s="154" t="str">
        <f t="shared" si="36"/>
        <v/>
      </c>
      <c r="D201" s="55"/>
      <c r="E201" s="238"/>
      <c r="F201" s="239"/>
      <c r="G201" s="51"/>
    </row>
    <row r="202" spans="1:7" s="52" customFormat="1" x14ac:dyDescent="0.3">
      <c r="A202" s="54"/>
      <c r="B202" s="54"/>
      <c r="C202" s="154" t="str">
        <f t="shared" si="36"/>
        <v/>
      </c>
      <c r="D202" s="55"/>
      <c r="E202" s="238"/>
      <c r="F202" s="239"/>
      <c r="G202" s="51"/>
    </row>
    <row r="203" spans="1:7" s="52" customFormat="1" ht="15" thickBot="1" x14ac:dyDescent="0.35">
      <c r="A203" s="56"/>
      <c r="B203" s="56"/>
      <c r="C203" s="155" t="str">
        <f t="shared" si="36"/>
        <v/>
      </c>
      <c r="D203" s="57"/>
      <c r="E203" s="240"/>
      <c r="F203" s="241"/>
      <c r="G203" s="51"/>
    </row>
    <row r="204" spans="1:7" s="52" customFormat="1" ht="15" thickBot="1" x14ac:dyDescent="0.35">
      <c r="A204" s="111" t="s">
        <v>31</v>
      </c>
      <c r="B204" s="84">
        <f>SUM(B196:B203)</f>
        <v>48</v>
      </c>
      <c r="C204" s="111" t="str">
        <f xml:space="preserve"> setValueToTime(B204)</f>
        <v>4h</v>
      </c>
      <c r="D204" s="120"/>
      <c r="E204" s="242"/>
      <c r="F204" s="243"/>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44" t="s">
        <v>18</v>
      </c>
      <c r="F207" s="245"/>
      <c r="G207" s="46"/>
    </row>
    <row r="208" spans="1:7" s="52" customFormat="1" ht="27" x14ac:dyDescent="0.3">
      <c r="A208" s="48" t="s">
        <v>97</v>
      </c>
      <c r="B208" s="49">
        <v>25</v>
      </c>
      <c r="C208" s="152" t="str">
        <f xml:space="preserve"> IF(B208="","",setValueToTime(B208))</f>
        <v>2h5min</v>
      </c>
      <c r="D208" s="172" t="s">
        <v>160</v>
      </c>
      <c r="E208" s="246"/>
      <c r="F208" s="247"/>
      <c r="G208" s="51"/>
    </row>
    <row r="209" spans="1:7" s="52" customFormat="1" x14ac:dyDescent="0.3">
      <c r="A209" s="53" t="s">
        <v>95</v>
      </c>
      <c r="B209" s="54">
        <v>8</v>
      </c>
      <c r="C209" s="153" t="str">
        <f t="shared" ref="C209:C211" si="37" xml:space="preserve"> IF(B209="","",setValueToTime(B209))</f>
        <v>0h40min</v>
      </c>
      <c r="D209" s="175" t="s">
        <v>108</v>
      </c>
      <c r="E209" s="238"/>
      <c r="F209" s="239"/>
      <c r="G209" s="51"/>
    </row>
    <row r="210" spans="1:7" s="52" customFormat="1" x14ac:dyDescent="0.3">
      <c r="A210" s="53" t="s">
        <v>101</v>
      </c>
      <c r="B210" s="54">
        <v>2</v>
      </c>
      <c r="C210" s="153" t="str">
        <f t="shared" si="37"/>
        <v>0h10min</v>
      </c>
      <c r="D210" s="175" t="s">
        <v>161</v>
      </c>
      <c r="E210" s="238"/>
      <c r="F210" s="239"/>
      <c r="G210" s="51"/>
    </row>
    <row r="211" spans="1:7" s="52" customFormat="1" x14ac:dyDescent="0.3">
      <c r="A211" s="53" t="s">
        <v>91</v>
      </c>
      <c r="B211" s="54">
        <v>3</v>
      </c>
      <c r="C211" s="153" t="str">
        <f t="shared" si="37"/>
        <v>0h15min</v>
      </c>
      <c r="D211" s="175" t="s">
        <v>109</v>
      </c>
      <c r="E211" s="238"/>
      <c r="F211" s="239"/>
      <c r="G211" s="51"/>
    </row>
    <row r="212" spans="1:7" s="52" customFormat="1" x14ac:dyDescent="0.3">
      <c r="A212" s="54"/>
      <c r="B212" s="54"/>
      <c r="C212" s="154" t="str">
        <f t="shared" ref="C212:C215" si="38" xml:space="preserve"> IF(B212="","",setValueToTime(B212))</f>
        <v/>
      </c>
      <c r="D212" s="55"/>
      <c r="E212" s="238"/>
      <c r="F212" s="239"/>
      <c r="G212" s="51"/>
    </row>
    <row r="213" spans="1:7" s="52" customFormat="1" x14ac:dyDescent="0.3">
      <c r="A213" s="54"/>
      <c r="B213" s="54"/>
      <c r="C213" s="154" t="str">
        <f t="shared" si="38"/>
        <v/>
      </c>
      <c r="D213" s="55"/>
      <c r="E213" s="238"/>
      <c r="F213" s="239"/>
      <c r="G213" s="51"/>
    </row>
    <row r="214" spans="1:7" s="52" customFormat="1" x14ac:dyDescent="0.3">
      <c r="A214" s="54"/>
      <c r="B214" s="54"/>
      <c r="C214" s="154" t="str">
        <f t="shared" si="38"/>
        <v/>
      </c>
      <c r="D214" s="55"/>
      <c r="E214" s="238"/>
      <c r="F214" s="239"/>
      <c r="G214" s="51"/>
    </row>
    <row r="215" spans="1:7" s="52" customFormat="1" ht="15" thickBot="1" x14ac:dyDescent="0.35">
      <c r="A215" s="56"/>
      <c r="B215" s="56"/>
      <c r="C215" s="155" t="str">
        <f t="shared" si="38"/>
        <v/>
      </c>
      <c r="D215" s="57"/>
      <c r="E215" s="240"/>
      <c r="F215" s="241"/>
      <c r="G215" s="51"/>
    </row>
    <row r="216" spans="1:7" s="52" customFormat="1" ht="15" thickBot="1" x14ac:dyDescent="0.35">
      <c r="A216" s="111" t="s">
        <v>31</v>
      </c>
      <c r="B216" s="84">
        <f>SUM(B208:B215)</f>
        <v>38</v>
      </c>
      <c r="C216" s="111" t="str">
        <f xml:space="preserve"> setValueToTime(B216)</f>
        <v>3h10min</v>
      </c>
      <c r="D216" s="120"/>
      <c r="E216" s="242"/>
      <c r="F216" s="243"/>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44" t="s">
        <v>18</v>
      </c>
      <c r="F219" s="245"/>
      <c r="G219" s="46"/>
    </row>
    <row r="220" spans="1:7" s="52" customFormat="1" ht="27" x14ac:dyDescent="0.3">
      <c r="A220" s="48" t="s">
        <v>96</v>
      </c>
      <c r="B220" s="49">
        <v>10</v>
      </c>
      <c r="C220" s="152" t="str">
        <f xml:space="preserve"> IF(B220="","",setValueToTime(B220))</f>
        <v>0h50min</v>
      </c>
      <c r="D220" s="172" t="s">
        <v>158</v>
      </c>
      <c r="E220" s="246"/>
      <c r="F220" s="247"/>
      <c r="G220" s="51"/>
    </row>
    <row r="221" spans="1:7" s="52" customFormat="1" ht="27" x14ac:dyDescent="0.3">
      <c r="A221" s="53" t="s">
        <v>92</v>
      </c>
      <c r="B221" s="54">
        <v>20</v>
      </c>
      <c r="C221" s="153" t="str">
        <f t="shared" ref="C221:C224" si="39" xml:space="preserve"> IF(B221="","",setValueToTime(B221))</f>
        <v>1h40min</v>
      </c>
      <c r="D221" s="175" t="s">
        <v>159</v>
      </c>
      <c r="E221" s="238"/>
      <c r="F221" s="239"/>
      <c r="G221" s="51"/>
    </row>
    <row r="222" spans="1:7" s="52" customFormat="1" x14ac:dyDescent="0.3">
      <c r="A222" s="53" t="s">
        <v>95</v>
      </c>
      <c r="B222" s="54">
        <v>3</v>
      </c>
      <c r="C222" s="153" t="str">
        <f t="shared" si="39"/>
        <v>0h15min</v>
      </c>
      <c r="D222" s="175" t="s">
        <v>108</v>
      </c>
      <c r="E222" s="238"/>
      <c r="F222" s="239"/>
      <c r="G222" s="51"/>
    </row>
    <row r="223" spans="1:7" s="52" customFormat="1" x14ac:dyDescent="0.3">
      <c r="A223" s="53" t="s">
        <v>101</v>
      </c>
      <c r="B223" s="54">
        <v>2</v>
      </c>
      <c r="C223" s="153" t="str">
        <f t="shared" si="39"/>
        <v>0h10min</v>
      </c>
      <c r="D223" s="175" t="s">
        <v>161</v>
      </c>
      <c r="E223" s="238"/>
      <c r="F223" s="239"/>
      <c r="G223" s="51"/>
    </row>
    <row r="224" spans="1:7" s="52" customFormat="1" x14ac:dyDescent="0.3">
      <c r="A224" s="53" t="s">
        <v>91</v>
      </c>
      <c r="B224" s="54">
        <v>3</v>
      </c>
      <c r="C224" s="153" t="str">
        <f t="shared" si="39"/>
        <v>0h15min</v>
      </c>
      <c r="D224" s="175" t="s">
        <v>109</v>
      </c>
      <c r="E224" s="238"/>
      <c r="F224" s="239"/>
      <c r="G224" s="51"/>
    </row>
    <row r="225" spans="1:7" s="52" customFormat="1" x14ac:dyDescent="0.3">
      <c r="A225" s="54"/>
      <c r="B225" s="54"/>
      <c r="C225" s="154" t="str">
        <f t="shared" ref="C225:C227" si="40" xml:space="preserve"> IF(B225="","",setValueToTime(B225))</f>
        <v/>
      </c>
      <c r="D225" s="55"/>
      <c r="E225" s="238"/>
      <c r="F225" s="239"/>
      <c r="G225" s="51"/>
    </row>
    <row r="226" spans="1:7" s="52" customFormat="1" x14ac:dyDescent="0.3">
      <c r="A226" s="54"/>
      <c r="B226" s="54"/>
      <c r="C226" s="154" t="str">
        <f t="shared" si="40"/>
        <v/>
      </c>
      <c r="D226" s="55"/>
      <c r="E226" s="238"/>
      <c r="F226" s="239"/>
      <c r="G226" s="51"/>
    </row>
    <row r="227" spans="1:7" s="52" customFormat="1" ht="15" thickBot="1" x14ac:dyDescent="0.35">
      <c r="A227" s="56"/>
      <c r="B227" s="56"/>
      <c r="C227" s="155" t="str">
        <f t="shared" si="40"/>
        <v/>
      </c>
      <c r="D227" s="57"/>
      <c r="E227" s="240"/>
      <c r="F227" s="241"/>
      <c r="G227" s="51"/>
    </row>
    <row r="228" spans="1:7" s="52" customFormat="1" ht="15" thickBot="1" x14ac:dyDescent="0.35">
      <c r="A228" s="111" t="s">
        <v>31</v>
      </c>
      <c r="B228" s="84">
        <f>SUM(B220:B227)</f>
        <v>38</v>
      </c>
      <c r="C228" s="111" t="str">
        <f xml:space="preserve"> setValueToTime(B228)</f>
        <v>3h10min</v>
      </c>
      <c r="D228" s="120"/>
      <c r="E228" s="242"/>
      <c r="F228" s="243"/>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44" t="s">
        <v>18</v>
      </c>
      <c r="F231" s="245"/>
      <c r="G231" s="46"/>
    </row>
    <row r="232" spans="1:7" s="52" customFormat="1" ht="27" x14ac:dyDescent="0.3">
      <c r="A232" s="48" t="s">
        <v>96</v>
      </c>
      <c r="B232" s="49">
        <v>33</v>
      </c>
      <c r="C232" s="152" t="str">
        <f xml:space="preserve"> IF(B232="","",setValueToTime(B232))</f>
        <v>2h45min</v>
      </c>
      <c r="D232" s="172" t="s">
        <v>158</v>
      </c>
      <c r="E232" s="246"/>
      <c r="F232" s="247"/>
      <c r="G232" s="51"/>
    </row>
    <row r="233" spans="1:7" s="52" customFormat="1" x14ac:dyDescent="0.3">
      <c r="A233" s="53" t="s">
        <v>95</v>
      </c>
      <c r="B233" s="54">
        <v>10</v>
      </c>
      <c r="C233" s="153" t="str">
        <f t="shared" ref="C233:C234" si="41" xml:space="preserve"> IF(B233="","",setValueToTime(B233))</f>
        <v>0h50min</v>
      </c>
      <c r="D233" s="175" t="s">
        <v>108</v>
      </c>
      <c r="E233" s="238"/>
      <c r="F233" s="239"/>
      <c r="G233" s="51"/>
    </row>
    <row r="234" spans="1:7" s="52" customFormat="1" x14ac:dyDescent="0.3">
      <c r="A234" s="53" t="s">
        <v>101</v>
      </c>
      <c r="B234" s="54">
        <v>2</v>
      </c>
      <c r="C234" s="153" t="str">
        <f t="shared" si="41"/>
        <v>0h10min</v>
      </c>
      <c r="D234" s="175" t="s">
        <v>161</v>
      </c>
      <c r="E234" s="238"/>
      <c r="F234" s="239"/>
      <c r="G234" s="51"/>
    </row>
    <row r="235" spans="1:7" s="52" customFormat="1" x14ac:dyDescent="0.3">
      <c r="A235" s="53" t="s">
        <v>91</v>
      </c>
      <c r="B235" s="54">
        <v>3</v>
      </c>
      <c r="C235" s="153" t="str">
        <f t="shared" ref="C235" si="42" xml:space="preserve"> IF(B235="","",setValueToTime(B235))</f>
        <v>0h15min</v>
      </c>
      <c r="D235" s="175" t="s">
        <v>109</v>
      </c>
      <c r="E235" s="238"/>
      <c r="F235" s="239"/>
      <c r="G235" s="51"/>
    </row>
    <row r="236" spans="1:7" s="52" customFormat="1" x14ac:dyDescent="0.3">
      <c r="A236" s="54"/>
      <c r="B236" s="54"/>
      <c r="C236" s="154" t="str">
        <f t="shared" ref="C236:C239" si="43" xml:space="preserve"> IF(B236="","",setValueToTime(B236))</f>
        <v/>
      </c>
      <c r="D236" s="55"/>
      <c r="E236" s="238"/>
      <c r="F236" s="239"/>
      <c r="G236" s="51"/>
    </row>
    <row r="237" spans="1:7" s="52" customFormat="1" x14ac:dyDescent="0.3">
      <c r="A237" s="54"/>
      <c r="B237" s="54"/>
      <c r="C237" s="154" t="str">
        <f t="shared" si="43"/>
        <v/>
      </c>
      <c r="D237" s="55"/>
      <c r="E237" s="238"/>
      <c r="F237" s="239"/>
      <c r="G237" s="51"/>
    </row>
    <row r="238" spans="1:7" s="52" customFormat="1" x14ac:dyDescent="0.3">
      <c r="A238" s="54"/>
      <c r="B238" s="54"/>
      <c r="C238" s="154" t="str">
        <f t="shared" si="43"/>
        <v/>
      </c>
      <c r="D238" s="55"/>
      <c r="E238" s="238"/>
      <c r="F238" s="239"/>
      <c r="G238" s="51"/>
    </row>
    <row r="239" spans="1:7" s="52" customFormat="1" ht="15" thickBot="1" x14ac:dyDescent="0.35">
      <c r="A239" s="56"/>
      <c r="B239" s="56"/>
      <c r="C239" s="155" t="str">
        <f t="shared" si="43"/>
        <v/>
      </c>
      <c r="D239" s="57"/>
      <c r="E239" s="240"/>
      <c r="F239" s="241"/>
      <c r="G239" s="51"/>
    </row>
    <row r="240" spans="1:7" s="52" customFormat="1" ht="15" thickBot="1" x14ac:dyDescent="0.35">
      <c r="A240" s="111" t="s">
        <v>31</v>
      </c>
      <c r="B240" s="84">
        <f>SUM(B232:B239)</f>
        <v>48</v>
      </c>
      <c r="C240" s="111" t="str">
        <f xml:space="preserve"> setValueToTime(B240)</f>
        <v>4h</v>
      </c>
      <c r="D240" s="120"/>
      <c r="E240" s="242"/>
      <c r="F240" s="243"/>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44" t="s">
        <v>18</v>
      </c>
      <c r="F243" s="245"/>
      <c r="G243" s="46"/>
    </row>
    <row r="244" spans="1:7" s="52" customFormat="1" ht="27.75" thickBot="1" x14ac:dyDescent="0.35">
      <c r="A244" s="48" t="s">
        <v>101</v>
      </c>
      <c r="B244" s="49">
        <v>22</v>
      </c>
      <c r="C244" s="152" t="str">
        <f xml:space="preserve"> IF(B244="","",setValueToTime(B244))</f>
        <v>1h50min</v>
      </c>
      <c r="D244" s="172" t="s">
        <v>113</v>
      </c>
      <c r="E244" s="246"/>
      <c r="F244" s="247"/>
      <c r="G244" s="51"/>
    </row>
    <row r="245" spans="1:7" s="52" customFormat="1" ht="27" x14ac:dyDescent="0.3">
      <c r="A245" s="53" t="s">
        <v>96</v>
      </c>
      <c r="B245" s="54">
        <v>5</v>
      </c>
      <c r="C245" s="153" t="str">
        <f t="shared" ref="C245" si="44" xml:space="preserve"> IF(B245="","",setValueToTime(B245))</f>
        <v>0h25min</v>
      </c>
      <c r="D245" s="172" t="s">
        <v>158</v>
      </c>
      <c r="E245" s="238"/>
      <c r="F245" s="239"/>
      <c r="G245" s="51"/>
    </row>
    <row r="246" spans="1:7" s="52" customFormat="1" x14ac:dyDescent="0.3">
      <c r="A246" s="53" t="s">
        <v>95</v>
      </c>
      <c r="B246" s="54">
        <v>8</v>
      </c>
      <c r="C246" s="153" t="str">
        <f t="shared" ref="C246" si="45" xml:space="preserve"> IF(B246="","",setValueToTime(B246))</f>
        <v>0h40min</v>
      </c>
      <c r="D246" s="175" t="s">
        <v>108</v>
      </c>
      <c r="E246" s="238"/>
      <c r="F246" s="239"/>
      <c r="G246" s="51"/>
    </row>
    <row r="247" spans="1:7" s="52" customFormat="1" x14ac:dyDescent="0.3">
      <c r="A247" s="53" t="s">
        <v>91</v>
      </c>
      <c r="B247" s="54">
        <v>3</v>
      </c>
      <c r="C247" s="153" t="str">
        <f t="shared" ref="C247" si="46" xml:space="preserve"> IF(B247="","",setValueToTime(B247))</f>
        <v>0h15min</v>
      </c>
      <c r="D247" s="175" t="s">
        <v>109</v>
      </c>
      <c r="E247" s="238"/>
      <c r="F247" s="239"/>
      <c r="G247" s="51"/>
    </row>
    <row r="248" spans="1:7" s="52" customFormat="1" x14ac:dyDescent="0.3">
      <c r="A248" s="54"/>
      <c r="B248" s="54"/>
      <c r="C248" s="154" t="str">
        <f t="shared" ref="C248:C251" si="47" xml:space="preserve"> IF(B248="","",setValueToTime(B248))</f>
        <v/>
      </c>
      <c r="D248" s="55"/>
      <c r="E248" s="238"/>
      <c r="F248" s="239"/>
      <c r="G248" s="51"/>
    </row>
    <row r="249" spans="1:7" s="52" customFormat="1" x14ac:dyDescent="0.3">
      <c r="A249" s="54"/>
      <c r="B249" s="54"/>
      <c r="C249" s="154" t="str">
        <f t="shared" si="47"/>
        <v/>
      </c>
      <c r="D249" s="55"/>
      <c r="E249" s="238"/>
      <c r="F249" s="239"/>
      <c r="G249" s="51"/>
    </row>
    <row r="250" spans="1:7" s="52" customFormat="1" x14ac:dyDescent="0.3">
      <c r="A250" s="54"/>
      <c r="B250" s="54"/>
      <c r="C250" s="154" t="str">
        <f t="shared" si="47"/>
        <v/>
      </c>
      <c r="D250" s="55"/>
      <c r="E250" s="238"/>
      <c r="F250" s="239"/>
      <c r="G250" s="51"/>
    </row>
    <row r="251" spans="1:7" s="52" customFormat="1" ht="15" thickBot="1" x14ac:dyDescent="0.35">
      <c r="A251" s="56"/>
      <c r="B251" s="56"/>
      <c r="C251" s="155" t="str">
        <f t="shared" si="47"/>
        <v/>
      </c>
      <c r="D251" s="57"/>
      <c r="E251" s="240"/>
      <c r="F251" s="241"/>
      <c r="G251" s="51"/>
    </row>
    <row r="252" spans="1:7" s="52" customFormat="1" ht="15" thickBot="1" x14ac:dyDescent="0.35">
      <c r="A252" s="111" t="s">
        <v>31</v>
      </c>
      <c r="B252" s="84">
        <f>SUM(B244:B251)</f>
        <v>38</v>
      </c>
      <c r="C252" s="111" t="str">
        <f xml:space="preserve"> setValueToTime(B252)</f>
        <v>3h10min</v>
      </c>
      <c r="D252" s="120"/>
      <c r="E252" s="242"/>
      <c r="F252" s="243"/>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44" t="s">
        <v>18</v>
      </c>
      <c r="F255" s="245"/>
      <c r="G255" s="46"/>
    </row>
    <row r="256" spans="1:7" s="52" customFormat="1" ht="27" x14ac:dyDescent="0.3">
      <c r="A256" s="48" t="s">
        <v>103</v>
      </c>
      <c r="B256" s="49">
        <v>6</v>
      </c>
      <c r="C256" s="152" t="str">
        <f xml:space="preserve"> IF(B256="","",setValueToTime(B256))</f>
        <v>0h30min</v>
      </c>
      <c r="D256" s="172" t="s">
        <v>156</v>
      </c>
      <c r="E256" s="246"/>
      <c r="F256" s="247"/>
      <c r="G256" s="51"/>
    </row>
    <row r="257" spans="1:7" s="52" customFormat="1" x14ac:dyDescent="0.3">
      <c r="A257" s="53" t="s">
        <v>94</v>
      </c>
      <c r="B257" s="54">
        <v>29</v>
      </c>
      <c r="C257" s="153" t="str">
        <f t="shared" ref="C257" si="48" xml:space="preserve"> IF(B257="","",setValueToTime(B257))</f>
        <v>2h25min</v>
      </c>
      <c r="D257" s="175" t="s">
        <v>157</v>
      </c>
      <c r="E257" s="238"/>
      <c r="F257" s="239"/>
      <c r="G257" s="51"/>
    </row>
    <row r="258" spans="1:7" s="52" customFormat="1" x14ac:dyDescent="0.3">
      <c r="A258" s="53" t="s">
        <v>91</v>
      </c>
      <c r="B258" s="54">
        <v>3</v>
      </c>
      <c r="C258" s="153" t="str">
        <f t="shared" ref="C258" si="49" xml:space="preserve"> IF(B258="","",setValueToTime(B258))</f>
        <v>0h15min</v>
      </c>
      <c r="D258" s="175" t="s">
        <v>109</v>
      </c>
      <c r="E258" s="238"/>
      <c r="F258" s="239"/>
      <c r="G258" s="51"/>
    </row>
    <row r="259" spans="1:7" s="52" customFormat="1" x14ac:dyDescent="0.3">
      <c r="A259" s="53"/>
      <c r="B259" s="54"/>
      <c r="C259" s="153"/>
      <c r="D259" s="55"/>
      <c r="E259" s="238"/>
      <c r="F259" s="239"/>
      <c r="G259" s="51"/>
    </row>
    <row r="260" spans="1:7" s="52" customFormat="1" x14ac:dyDescent="0.3">
      <c r="A260" s="54"/>
      <c r="B260" s="54"/>
      <c r="C260" s="154" t="str">
        <f t="shared" ref="C260:C263" si="50" xml:space="preserve"> IF(B260="","",setValueToTime(B260))</f>
        <v/>
      </c>
      <c r="D260" s="55"/>
      <c r="E260" s="238"/>
      <c r="F260" s="239"/>
      <c r="G260" s="51"/>
    </row>
    <row r="261" spans="1:7" s="52" customFormat="1" x14ac:dyDescent="0.3">
      <c r="A261" s="54"/>
      <c r="B261" s="54"/>
      <c r="C261" s="154" t="str">
        <f t="shared" si="50"/>
        <v/>
      </c>
      <c r="D261" s="55"/>
      <c r="E261" s="238"/>
      <c r="F261" s="239"/>
      <c r="G261" s="51"/>
    </row>
    <row r="262" spans="1:7" s="52" customFormat="1" x14ac:dyDescent="0.3">
      <c r="A262" s="54"/>
      <c r="B262" s="54"/>
      <c r="C262" s="154" t="str">
        <f t="shared" si="50"/>
        <v/>
      </c>
      <c r="D262" s="55"/>
      <c r="E262" s="238"/>
      <c r="F262" s="239"/>
      <c r="G262" s="51"/>
    </row>
    <row r="263" spans="1:7" s="52" customFormat="1" ht="15" thickBot="1" x14ac:dyDescent="0.35">
      <c r="A263" s="56"/>
      <c r="B263" s="56"/>
      <c r="C263" s="155" t="str">
        <f t="shared" si="50"/>
        <v/>
      </c>
      <c r="D263" s="57"/>
      <c r="E263" s="240"/>
      <c r="F263" s="241"/>
      <c r="G263" s="51"/>
    </row>
    <row r="264" spans="1:7" s="52" customFormat="1" ht="15" thickBot="1" x14ac:dyDescent="0.35">
      <c r="A264" s="111" t="s">
        <v>31</v>
      </c>
      <c r="B264" s="84">
        <f>SUM(B256:B263)</f>
        <v>38</v>
      </c>
      <c r="C264" s="111" t="str">
        <f xml:space="preserve"> setValueToTime(B264)</f>
        <v>3h10min</v>
      </c>
      <c r="D264" s="120"/>
      <c r="E264" s="242"/>
      <c r="F264" s="243"/>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44" t="s">
        <v>18</v>
      </c>
      <c r="F267" s="245"/>
      <c r="G267" s="46"/>
    </row>
    <row r="268" spans="1:7" s="52" customFormat="1" x14ac:dyDescent="0.3">
      <c r="A268" s="48" t="s">
        <v>90</v>
      </c>
      <c r="B268" s="49">
        <v>20</v>
      </c>
      <c r="C268" s="152" t="str">
        <f xml:space="preserve"> IF(B268="","",setValueToTime(B268))</f>
        <v>1h40min</v>
      </c>
      <c r="D268" s="175" t="s">
        <v>155</v>
      </c>
      <c r="E268" s="246"/>
      <c r="F268" s="247"/>
      <c r="G268" s="51"/>
    </row>
    <row r="269" spans="1:7" s="52" customFormat="1" ht="27" x14ac:dyDescent="0.3">
      <c r="A269" s="53" t="s">
        <v>89</v>
      </c>
      <c r="B269" s="54">
        <v>10</v>
      </c>
      <c r="C269" s="153" t="str">
        <f t="shared" ref="C269:C271" si="51" xml:space="preserve"> IF(B269="","",setValueToTime(B269))</f>
        <v>0h50min</v>
      </c>
      <c r="D269" s="175" t="s">
        <v>115</v>
      </c>
      <c r="E269" s="238"/>
      <c r="F269" s="239"/>
      <c r="G269" s="51"/>
    </row>
    <row r="270" spans="1:7" s="52" customFormat="1" x14ac:dyDescent="0.3">
      <c r="A270" s="53" t="s">
        <v>95</v>
      </c>
      <c r="B270" s="54">
        <v>5</v>
      </c>
      <c r="C270" s="153" t="str">
        <f t="shared" si="51"/>
        <v>0h25min</v>
      </c>
      <c r="D270" s="175" t="s">
        <v>116</v>
      </c>
      <c r="E270" s="238"/>
      <c r="F270" s="239"/>
      <c r="G270" s="51"/>
    </row>
    <row r="271" spans="1:7" s="52" customFormat="1" x14ac:dyDescent="0.3">
      <c r="A271" s="53" t="s">
        <v>91</v>
      </c>
      <c r="B271" s="54">
        <v>3</v>
      </c>
      <c r="C271" s="153" t="str">
        <f t="shared" si="51"/>
        <v>0h15min</v>
      </c>
      <c r="D271" s="175" t="s">
        <v>109</v>
      </c>
      <c r="E271" s="238"/>
      <c r="F271" s="239"/>
      <c r="G271" s="51"/>
    </row>
    <row r="272" spans="1:7" s="52" customFormat="1" x14ac:dyDescent="0.3">
      <c r="A272" s="54"/>
      <c r="B272" s="54"/>
      <c r="C272" s="154" t="str">
        <f t="shared" ref="C272:C275" si="52" xml:space="preserve"> IF(B272="","",setValueToTime(B272))</f>
        <v/>
      </c>
      <c r="D272" s="55"/>
      <c r="E272" s="238"/>
      <c r="F272" s="239"/>
      <c r="G272" s="51"/>
    </row>
    <row r="273" spans="1:7" s="52" customFormat="1" x14ac:dyDescent="0.3">
      <c r="A273" s="54"/>
      <c r="B273" s="54"/>
      <c r="C273" s="154" t="str">
        <f t="shared" si="52"/>
        <v/>
      </c>
      <c r="D273" s="55"/>
      <c r="E273" s="238"/>
      <c r="F273" s="239"/>
      <c r="G273" s="51"/>
    </row>
    <row r="274" spans="1:7" s="52" customFormat="1" x14ac:dyDescent="0.3">
      <c r="A274" s="54"/>
      <c r="B274" s="54"/>
      <c r="C274" s="154" t="str">
        <f t="shared" si="52"/>
        <v/>
      </c>
      <c r="D274" s="55"/>
      <c r="E274" s="238"/>
      <c r="F274" s="239"/>
      <c r="G274" s="51"/>
    </row>
    <row r="275" spans="1:7" s="52" customFormat="1" ht="15" thickBot="1" x14ac:dyDescent="0.35">
      <c r="A275" s="56"/>
      <c r="B275" s="56"/>
      <c r="C275" s="155" t="str">
        <f t="shared" si="52"/>
        <v/>
      </c>
      <c r="D275" s="57"/>
      <c r="E275" s="240"/>
      <c r="F275" s="241"/>
      <c r="G275" s="51"/>
    </row>
    <row r="276" spans="1:7" s="52" customFormat="1" ht="15" thickBot="1" x14ac:dyDescent="0.35">
      <c r="A276" s="111" t="s">
        <v>31</v>
      </c>
      <c r="B276" s="84">
        <f>SUM(B268:B275)</f>
        <v>38</v>
      </c>
      <c r="C276" s="111" t="str">
        <f xml:space="preserve"> setValueToTime(B276)</f>
        <v>3h10min</v>
      </c>
      <c r="D276" s="120"/>
      <c r="E276" s="242"/>
      <c r="F276" s="243"/>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44" t="s">
        <v>18</v>
      </c>
      <c r="F279" s="245"/>
      <c r="G279" s="46"/>
    </row>
    <row r="280" spans="1:7" s="52" customFormat="1" x14ac:dyDescent="0.3">
      <c r="A280" s="48" t="s">
        <v>92</v>
      </c>
      <c r="B280" s="49">
        <v>25</v>
      </c>
      <c r="C280" s="152" t="str">
        <f xml:space="preserve"> IF(B280="","",setValueToTime(B280))</f>
        <v>2h5min</v>
      </c>
      <c r="D280" s="175" t="s">
        <v>169</v>
      </c>
      <c r="E280" s="246"/>
      <c r="F280" s="247"/>
      <c r="G280" s="51"/>
    </row>
    <row r="281" spans="1:7" s="52" customFormat="1" x14ac:dyDescent="0.3">
      <c r="A281" s="53" t="s">
        <v>90</v>
      </c>
      <c r="B281" s="54">
        <v>10</v>
      </c>
      <c r="C281" s="153" t="str">
        <f t="shared" ref="C281" si="53" xml:space="preserve"> IF(B281="","",setValueToTime(B281))</f>
        <v>0h50min</v>
      </c>
      <c r="D281" s="175" t="s">
        <v>114</v>
      </c>
      <c r="E281" s="238"/>
      <c r="F281" s="239"/>
      <c r="G281" s="51"/>
    </row>
    <row r="282" spans="1:7" s="52" customFormat="1" x14ac:dyDescent="0.3">
      <c r="A282" s="174" t="s">
        <v>91</v>
      </c>
      <c r="B282" s="54">
        <v>3</v>
      </c>
      <c r="C282" s="153" t="str">
        <f xml:space="preserve"> IF(B282="","",setValueToTime(B282))</f>
        <v>0h15min</v>
      </c>
      <c r="D282" s="175" t="s">
        <v>109</v>
      </c>
      <c r="E282" s="238"/>
      <c r="F282" s="239"/>
      <c r="G282" s="51"/>
    </row>
    <row r="283" spans="1:7" s="52" customFormat="1" x14ac:dyDescent="0.3">
      <c r="A283" s="53"/>
      <c r="B283" s="54"/>
      <c r="C283" s="153" t="str">
        <f t="shared" ref="C283:C287" si="54" xml:space="preserve"> IF(B283="","",setValueToTime(B283))</f>
        <v/>
      </c>
      <c r="D283" s="55"/>
      <c r="E283" s="238"/>
      <c r="F283" s="239"/>
      <c r="G283" s="51"/>
    </row>
    <row r="284" spans="1:7" s="52" customFormat="1" x14ac:dyDescent="0.3">
      <c r="A284" s="54"/>
      <c r="B284" s="54"/>
      <c r="C284" s="154" t="str">
        <f t="shared" si="54"/>
        <v/>
      </c>
      <c r="D284" s="55"/>
      <c r="E284" s="238"/>
      <c r="F284" s="239"/>
      <c r="G284" s="51"/>
    </row>
    <row r="285" spans="1:7" s="52" customFormat="1" x14ac:dyDescent="0.3">
      <c r="A285" s="54"/>
      <c r="B285" s="54"/>
      <c r="C285" s="154" t="str">
        <f t="shared" si="54"/>
        <v/>
      </c>
      <c r="D285" s="55"/>
      <c r="E285" s="238"/>
      <c r="F285" s="239"/>
      <c r="G285" s="51"/>
    </row>
    <row r="286" spans="1:7" s="52" customFormat="1" x14ac:dyDescent="0.3">
      <c r="A286" s="54"/>
      <c r="B286" s="54"/>
      <c r="C286" s="154" t="str">
        <f t="shared" si="54"/>
        <v/>
      </c>
      <c r="D286" s="55"/>
      <c r="E286" s="238"/>
      <c r="F286" s="239"/>
      <c r="G286" s="51"/>
    </row>
    <row r="287" spans="1:7" s="52" customFormat="1" ht="15" thickBot="1" x14ac:dyDescent="0.35">
      <c r="A287" s="56"/>
      <c r="B287" s="56"/>
      <c r="C287" s="155" t="str">
        <f t="shared" si="54"/>
        <v/>
      </c>
      <c r="D287" s="57"/>
      <c r="E287" s="240"/>
      <c r="F287" s="241"/>
      <c r="G287" s="51"/>
    </row>
    <row r="288" spans="1:7" s="52" customFormat="1" ht="15" thickBot="1" x14ac:dyDescent="0.35">
      <c r="A288" s="111" t="s">
        <v>31</v>
      </c>
      <c r="B288" s="84">
        <f>SUM(B280:B287)</f>
        <v>38</v>
      </c>
      <c r="C288" s="111" t="str">
        <f xml:space="preserve"> setValueToTime(B288)</f>
        <v>3h10min</v>
      </c>
      <c r="D288" s="120"/>
      <c r="E288" s="242"/>
      <c r="F288" s="243"/>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44" t="s">
        <v>18</v>
      </c>
      <c r="F291" s="245"/>
      <c r="G291" s="46"/>
    </row>
    <row r="292" spans="1:7" s="52" customFormat="1" x14ac:dyDescent="0.3">
      <c r="A292" s="48" t="s">
        <v>89</v>
      </c>
      <c r="B292" s="49">
        <v>6</v>
      </c>
      <c r="C292" s="152" t="str">
        <f xml:space="preserve"> IF(B292="","",setValueToTime(B292))</f>
        <v>0h30min</v>
      </c>
      <c r="D292" s="172" t="s">
        <v>117</v>
      </c>
      <c r="E292" s="246"/>
      <c r="F292" s="247"/>
      <c r="G292" s="51"/>
    </row>
    <row r="293" spans="1:7" s="52" customFormat="1" x14ac:dyDescent="0.3">
      <c r="A293" s="174" t="s">
        <v>90</v>
      </c>
      <c r="B293" s="54">
        <v>15</v>
      </c>
      <c r="C293" s="153" t="str">
        <f t="shared" ref="C293:C295" si="55" xml:space="preserve"> IF(B293="","",setValueToTime(B293))</f>
        <v>1h15min</v>
      </c>
      <c r="D293" s="175" t="s">
        <v>118</v>
      </c>
      <c r="E293" s="238"/>
      <c r="F293" s="239"/>
      <c r="G293" s="51"/>
    </row>
    <row r="294" spans="1:7" s="52" customFormat="1" x14ac:dyDescent="0.3">
      <c r="A294" s="174" t="s">
        <v>103</v>
      </c>
      <c r="B294" s="54">
        <v>10</v>
      </c>
      <c r="C294" s="153" t="str">
        <f t="shared" si="55"/>
        <v>0h50min</v>
      </c>
      <c r="D294" s="175" t="s">
        <v>119</v>
      </c>
      <c r="E294" s="238"/>
      <c r="F294" s="239"/>
      <c r="G294" s="51"/>
    </row>
    <row r="295" spans="1:7" s="52" customFormat="1" x14ac:dyDescent="0.3">
      <c r="A295" s="174" t="s">
        <v>95</v>
      </c>
      <c r="B295" s="54">
        <v>17</v>
      </c>
      <c r="C295" s="153" t="str">
        <f t="shared" si="55"/>
        <v>1h25min</v>
      </c>
      <c r="D295" s="175" t="s">
        <v>120</v>
      </c>
      <c r="E295" s="238"/>
      <c r="F295" s="239"/>
      <c r="G295" s="51"/>
    </row>
    <row r="296" spans="1:7" s="52" customFormat="1" x14ac:dyDescent="0.3">
      <c r="A296" s="54"/>
      <c r="B296" s="54"/>
      <c r="C296" s="154" t="str">
        <f t="shared" ref="C296:C299" si="56" xml:space="preserve"> IF(B296="","",setValueToTime(B296))</f>
        <v/>
      </c>
      <c r="D296" s="55"/>
      <c r="E296" s="238"/>
      <c r="F296" s="239"/>
      <c r="G296" s="51"/>
    </row>
    <row r="297" spans="1:7" s="52" customFormat="1" x14ac:dyDescent="0.3">
      <c r="A297" s="54"/>
      <c r="B297" s="54"/>
      <c r="C297" s="154" t="str">
        <f t="shared" si="56"/>
        <v/>
      </c>
      <c r="D297" s="55"/>
      <c r="E297" s="238"/>
      <c r="F297" s="239"/>
      <c r="G297" s="51"/>
    </row>
    <row r="298" spans="1:7" s="52" customFormat="1" x14ac:dyDescent="0.3">
      <c r="A298" s="54"/>
      <c r="B298" s="54"/>
      <c r="C298" s="154" t="str">
        <f t="shared" si="56"/>
        <v/>
      </c>
      <c r="D298" s="55"/>
      <c r="E298" s="238"/>
      <c r="F298" s="239"/>
      <c r="G298" s="51"/>
    </row>
    <row r="299" spans="1:7" s="52" customFormat="1" ht="15" thickBot="1" x14ac:dyDescent="0.35">
      <c r="A299" s="56"/>
      <c r="B299" s="56"/>
      <c r="C299" s="155" t="str">
        <f t="shared" si="56"/>
        <v/>
      </c>
      <c r="D299" s="57"/>
      <c r="E299" s="240"/>
      <c r="F299" s="241"/>
      <c r="G299" s="51"/>
    </row>
    <row r="300" spans="1:7" s="52" customFormat="1" ht="15" thickBot="1" x14ac:dyDescent="0.35">
      <c r="A300" s="111" t="s">
        <v>31</v>
      </c>
      <c r="B300" s="84">
        <f>SUM(B292:B299)</f>
        <v>48</v>
      </c>
      <c r="C300" s="111" t="str">
        <f xml:space="preserve"> setValueToTime(B300)</f>
        <v>4h</v>
      </c>
      <c r="D300" s="120"/>
      <c r="E300" s="242"/>
      <c r="F300" s="243"/>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44" t="s">
        <v>18</v>
      </c>
      <c r="F303" s="245"/>
      <c r="G303" s="46"/>
    </row>
    <row r="304" spans="1:7" s="52" customFormat="1" x14ac:dyDescent="0.3">
      <c r="A304" s="173" t="s">
        <v>89</v>
      </c>
      <c r="B304" s="49">
        <v>12</v>
      </c>
      <c r="C304" s="152" t="str">
        <f xml:space="preserve"> IF(B304="","",setValueToTime(B304))</f>
        <v>1h</v>
      </c>
      <c r="D304" s="172" t="s">
        <v>121</v>
      </c>
      <c r="E304" s="246"/>
      <c r="F304" s="247"/>
      <c r="G304" s="51"/>
    </row>
    <row r="305" spans="1:7" s="52" customFormat="1" x14ac:dyDescent="0.3">
      <c r="A305" s="174" t="s">
        <v>89</v>
      </c>
      <c r="B305" s="54">
        <v>12</v>
      </c>
      <c r="C305" s="153" t="str">
        <f t="shared" ref="C305:C307" si="57" xml:space="preserve"> IF(B305="","",setValueToTime(B305))</f>
        <v>1h</v>
      </c>
      <c r="D305" s="175" t="s">
        <v>122</v>
      </c>
      <c r="E305" s="238"/>
      <c r="F305" s="239"/>
      <c r="G305" s="51"/>
    </row>
    <row r="306" spans="1:7" s="52" customFormat="1" x14ac:dyDescent="0.3">
      <c r="A306" s="53" t="s">
        <v>90</v>
      </c>
      <c r="B306" s="54">
        <v>11</v>
      </c>
      <c r="C306" s="153" t="str">
        <f t="shared" si="57"/>
        <v>0h55min</v>
      </c>
      <c r="D306" s="175" t="s">
        <v>123</v>
      </c>
      <c r="E306" s="238"/>
      <c r="F306" s="239"/>
      <c r="G306" s="51"/>
    </row>
    <row r="307" spans="1:7" s="52" customFormat="1" x14ac:dyDescent="0.3">
      <c r="A307" s="53" t="s">
        <v>91</v>
      </c>
      <c r="B307" s="54">
        <v>3</v>
      </c>
      <c r="C307" s="153" t="str">
        <f t="shared" si="57"/>
        <v>0h15min</v>
      </c>
      <c r="D307" s="175" t="s">
        <v>109</v>
      </c>
      <c r="E307" s="238"/>
      <c r="F307" s="239"/>
      <c r="G307" s="51"/>
    </row>
    <row r="308" spans="1:7" s="52" customFormat="1" x14ac:dyDescent="0.3">
      <c r="A308" s="54"/>
      <c r="B308" s="54"/>
      <c r="C308" s="154" t="str">
        <f t="shared" ref="C308:C311" si="58" xml:space="preserve"> IF(B308="","",setValueToTime(B308))</f>
        <v/>
      </c>
      <c r="D308" s="55"/>
      <c r="E308" s="238"/>
      <c r="F308" s="239"/>
      <c r="G308" s="51"/>
    </row>
    <row r="309" spans="1:7" s="52" customFormat="1" x14ac:dyDescent="0.3">
      <c r="A309" s="54"/>
      <c r="B309" s="54"/>
      <c r="C309" s="154" t="str">
        <f t="shared" si="58"/>
        <v/>
      </c>
      <c r="D309" s="55"/>
      <c r="E309" s="238"/>
      <c r="F309" s="239"/>
      <c r="G309" s="51"/>
    </row>
    <row r="310" spans="1:7" s="52" customFormat="1" x14ac:dyDescent="0.3">
      <c r="A310" s="54"/>
      <c r="B310" s="54"/>
      <c r="C310" s="154" t="str">
        <f t="shared" si="58"/>
        <v/>
      </c>
      <c r="D310" s="55"/>
      <c r="E310" s="238"/>
      <c r="F310" s="239"/>
      <c r="G310" s="51"/>
    </row>
    <row r="311" spans="1:7" s="52" customFormat="1" ht="15" thickBot="1" x14ac:dyDescent="0.35">
      <c r="A311" s="56"/>
      <c r="B311" s="56"/>
      <c r="C311" s="155" t="str">
        <f t="shared" si="58"/>
        <v/>
      </c>
      <c r="D311" s="57"/>
      <c r="E311" s="240"/>
      <c r="F311" s="241"/>
      <c r="G311" s="51"/>
    </row>
    <row r="312" spans="1:7" s="52" customFormat="1" ht="15" thickBot="1" x14ac:dyDescent="0.35">
      <c r="A312" s="111" t="s">
        <v>31</v>
      </c>
      <c r="B312" s="84">
        <f>SUM(B304:B311)</f>
        <v>38</v>
      </c>
      <c r="C312" s="111" t="str">
        <f xml:space="preserve"> setValueToTime(B312)</f>
        <v>3h10min</v>
      </c>
      <c r="D312" s="120"/>
      <c r="E312" s="242"/>
      <c r="F312" s="243"/>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6" priority="43" operator="greaterThan">
      <formula>60</formula>
    </cfRule>
  </conditionalFormatting>
  <conditionalFormatting sqref="B300">
    <cfRule type="cellIs" dxfId="35" priority="42" operator="greaterThan">
      <formula>60</formula>
    </cfRule>
  </conditionalFormatting>
  <conditionalFormatting sqref="B288">
    <cfRule type="cellIs" dxfId="34" priority="41" operator="greaterThan">
      <formula>60</formula>
    </cfRule>
  </conditionalFormatting>
  <conditionalFormatting sqref="B276">
    <cfRule type="cellIs" dxfId="33" priority="40" operator="greaterThan">
      <formula>60</formula>
    </cfRule>
  </conditionalFormatting>
  <conditionalFormatting sqref="B264">
    <cfRule type="cellIs" dxfId="32" priority="39" operator="greaterThan">
      <formula>60</formula>
    </cfRule>
  </conditionalFormatting>
  <conditionalFormatting sqref="B252">
    <cfRule type="cellIs" dxfId="31" priority="38" operator="greaterThan">
      <formula>60</formula>
    </cfRule>
  </conditionalFormatting>
  <conditionalFormatting sqref="B240">
    <cfRule type="cellIs" dxfId="30" priority="37" operator="greaterThan">
      <formula>60</formula>
    </cfRule>
  </conditionalFormatting>
  <conditionalFormatting sqref="B228">
    <cfRule type="cellIs" dxfId="29" priority="36" operator="greaterThan">
      <formula>60</formula>
    </cfRule>
  </conditionalFormatting>
  <conditionalFormatting sqref="B216">
    <cfRule type="cellIs" dxfId="28" priority="35" operator="greaterThan">
      <formula>60</formula>
    </cfRule>
  </conditionalFormatting>
  <conditionalFormatting sqref="B204">
    <cfRule type="cellIs" dxfId="27" priority="34" operator="greaterThan">
      <formula>60</formula>
    </cfRule>
  </conditionalFormatting>
  <conditionalFormatting sqref="B192">
    <cfRule type="cellIs" dxfId="26" priority="33" operator="greaterThan">
      <formula>60</formula>
    </cfRule>
  </conditionalFormatting>
  <conditionalFormatting sqref="B180">
    <cfRule type="cellIs" dxfId="25" priority="32" operator="greaterThan">
      <formula>60</formula>
    </cfRule>
  </conditionalFormatting>
  <conditionalFormatting sqref="B168">
    <cfRule type="cellIs" dxfId="24" priority="31" operator="greaterThan">
      <formula>60</formula>
    </cfRule>
  </conditionalFormatting>
  <conditionalFormatting sqref="B156">
    <cfRule type="cellIs" dxfId="23" priority="30" operator="greaterThan">
      <formula>60</formula>
    </cfRule>
  </conditionalFormatting>
  <conditionalFormatting sqref="B144">
    <cfRule type="cellIs" dxfId="22" priority="29" operator="greaterThan">
      <formula>60</formula>
    </cfRule>
  </conditionalFormatting>
  <conditionalFormatting sqref="B132">
    <cfRule type="cellIs" dxfId="21" priority="28" operator="greaterThan">
      <formula>60</formula>
    </cfRule>
  </conditionalFormatting>
  <conditionalFormatting sqref="B120">
    <cfRule type="cellIs" dxfId="20" priority="27" operator="greaterThan">
      <formula>60</formula>
    </cfRule>
  </conditionalFormatting>
  <conditionalFormatting sqref="B108">
    <cfRule type="cellIs" dxfId="19" priority="26" operator="greaterThan">
      <formula>60</formula>
    </cfRule>
  </conditionalFormatting>
  <conditionalFormatting sqref="B96">
    <cfRule type="cellIs" dxfId="18" priority="25" operator="greaterThan">
      <formula>60</formula>
    </cfRule>
  </conditionalFormatting>
  <conditionalFormatting sqref="B84">
    <cfRule type="cellIs" dxfId="17" priority="24" operator="greaterThan">
      <formula>60</formula>
    </cfRule>
  </conditionalFormatting>
  <conditionalFormatting sqref="B72">
    <cfRule type="cellIs" dxfId="16" priority="23" operator="greaterThan">
      <formula>60</formula>
    </cfRule>
  </conditionalFormatting>
  <conditionalFormatting sqref="B60">
    <cfRule type="cellIs" dxfId="15" priority="22" operator="greaterThan">
      <formula>60</formula>
    </cfRule>
  </conditionalFormatting>
  <conditionalFormatting sqref="B48">
    <cfRule type="cellIs" dxfId="14" priority="21" operator="greaterThan">
      <formula>60</formula>
    </cfRule>
  </conditionalFormatting>
  <conditionalFormatting sqref="B36">
    <cfRule type="cellIs" dxfId="13" priority="20" operator="greaterThan">
      <formula>60</formula>
    </cfRule>
  </conditionalFormatting>
  <conditionalFormatting sqref="B24">
    <cfRule type="cellIs" dxfId="12" priority="19" operator="greaterThan">
      <formula>60</formula>
    </cfRule>
  </conditionalFormatting>
  <conditionalFormatting sqref="B12">
    <cfRule type="cellIs" dxfId="1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9"/>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9</v>
      </c>
      <c r="C2" s="164"/>
      <c r="D2" s="157" t="s">
        <v>19</v>
      </c>
      <c r="E2" s="158" t="s">
        <v>85</v>
      </c>
      <c r="F2" s="159" t="s">
        <v>46</v>
      </c>
      <c r="G2" s="46"/>
    </row>
    <row r="3" spans="1:7" s="47" customFormat="1" ht="30" customHeight="1" thickBot="1" x14ac:dyDescent="0.3">
      <c r="A3" s="78" t="s">
        <v>5</v>
      </c>
      <c r="B3" s="161" t="s">
        <v>42</v>
      </c>
      <c r="C3" s="160">
        <v>38</v>
      </c>
      <c r="D3" s="78" t="s">
        <v>17</v>
      </c>
      <c r="E3" s="250" t="s">
        <v>18</v>
      </c>
      <c r="F3" s="251"/>
      <c r="G3" s="46"/>
    </row>
    <row r="4" spans="1:7" s="52" customFormat="1" ht="67.5" x14ac:dyDescent="0.3">
      <c r="A4" s="48" t="s">
        <v>96</v>
      </c>
      <c r="B4" s="49">
        <v>20</v>
      </c>
      <c r="C4" s="152" t="str">
        <f xml:space="preserve"> IF(B4="","",setValueToTime(B4))</f>
        <v>1h40min</v>
      </c>
      <c r="D4" s="172" t="s">
        <v>203</v>
      </c>
      <c r="E4" s="246"/>
      <c r="F4" s="247"/>
      <c r="G4" s="51"/>
    </row>
    <row r="5" spans="1:7" s="52" customFormat="1" ht="40.5" x14ac:dyDescent="0.3">
      <c r="A5" s="53" t="s">
        <v>95</v>
      </c>
      <c r="B5" s="54">
        <v>8</v>
      </c>
      <c r="C5" s="153" t="str">
        <f t="shared" ref="C5:C10" si="0" xml:space="preserve"> IF(B5="","",setValueToTime(B5))</f>
        <v>0h40min</v>
      </c>
      <c r="D5" s="175" t="s">
        <v>200</v>
      </c>
      <c r="E5" s="252" t="s">
        <v>201</v>
      </c>
      <c r="F5" s="253"/>
      <c r="G5" s="51"/>
    </row>
    <row r="6" spans="1:7" s="52" customFormat="1" x14ac:dyDescent="0.3">
      <c r="A6" s="53"/>
      <c r="B6" s="54"/>
      <c r="C6" s="153"/>
      <c r="D6" s="175"/>
      <c r="E6" s="252" t="s">
        <v>202</v>
      </c>
      <c r="F6" s="253"/>
      <c r="G6" s="51"/>
    </row>
    <row r="7" spans="1:7" s="52" customFormat="1" ht="27" x14ac:dyDescent="0.3">
      <c r="A7" s="53" t="s">
        <v>101</v>
      </c>
      <c r="B7" s="54">
        <v>5</v>
      </c>
      <c r="C7" s="153" t="str">
        <f t="shared" si="0"/>
        <v>0h25min</v>
      </c>
      <c r="D7" s="175" t="s">
        <v>199</v>
      </c>
      <c r="E7" s="238"/>
      <c r="F7" s="239"/>
      <c r="G7" s="51"/>
    </row>
    <row r="8" spans="1:7" s="52" customFormat="1" x14ac:dyDescent="0.3">
      <c r="A8" s="53" t="s">
        <v>91</v>
      </c>
      <c r="B8" s="54">
        <v>3</v>
      </c>
      <c r="C8" s="153" t="str">
        <f t="shared" si="0"/>
        <v>0h15min</v>
      </c>
      <c r="D8" s="175" t="s">
        <v>178</v>
      </c>
      <c r="E8" s="238"/>
      <c r="F8" s="239"/>
      <c r="G8" s="51"/>
    </row>
    <row r="9" spans="1:7" s="52" customFormat="1" ht="27" x14ac:dyDescent="0.3">
      <c r="A9" s="53" t="s">
        <v>4</v>
      </c>
      <c r="B9" s="54">
        <v>2</v>
      </c>
      <c r="C9" s="153" t="str">
        <f t="shared" si="0"/>
        <v>0h10min</v>
      </c>
      <c r="D9" s="175" t="s">
        <v>204</v>
      </c>
      <c r="E9" s="202"/>
      <c r="F9" s="203"/>
      <c r="G9" s="51"/>
    </row>
    <row r="10" spans="1:7" s="52" customFormat="1" ht="27.75" thickBot="1" x14ac:dyDescent="0.35">
      <c r="A10" s="54"/>
      <c r="B10" s="54"/>
      <c r="C10" s="154" t="str">
        <f t="shared" si="0"/>
        <v/>
      </c>
      <c r="D10" s="175" t="s">
        <v>205</v>
      </c>
      <c r="E10" s="238"/>
      <c r="F10" s="239"/>
      <c r="G10" s="51"/>
    </row>
    <row r="11" spans="1:7" s="52" customFormat="1" ht="15" thickBot="1" x14ac:dyDescent="0.35">
      <c r="A11" s="162" t="s">
        <v>31</v>
      </c>
      <c r="B11" s="83">
        <f>SUM(B4:B10)</f>
        <v>38</v>
      </c>
      <c r="C11" s="162" t="str">
        <f xml:space="preserve"> setValueToTime(B11)</f>
        <v>3h10min</v>
      </c>
      <c r="D11" s="121"/>
      <c r="E11" s="248"/>
      <c r="F11" s="249"/>
      <c r="G11" s="51"/>
    </row>
    <row r="12" spans="1:7" s="59" customFormat="1" ht="15" thickBot="1" x14ac:dyDescent="0.35">
      <c r="A12" s="77"/>
      <c r="B12" s="77"/>
      <c r="C12" s="77"/>
      <c r="D12" s="77"/>
      <c r="E12" s="77"/>
      <c r="F12" s="77"/>
      <c r="G12" s="58"/>
    </row>
    <row r="13" spans="1:7" s="47" customFormat="1" ht="30" customHeight="1" thickBot="1" x14ac:dyDescent="0.3">
      <c r="A13" s="156" t="s">
        <v>16</v>
      </c>
      <c r="B13" s="164">
        <v>8</v>
      </c>
      <c r="C13" s="164"/>
      <c r="D13" s="157" t="s">
        <v>19</v>
      </c>
      <c r="E13" s="158" t="s">
        <v>86</v>
      </c>
      <c r="F13" s="159" t="s">
        <v>45</v>
      </c>
      <c r="G13" s="46"/>
    </row>
    <row r="14" spans="1:7" s="47" customFormat="1" ht="30" customHeight="1" thickBot="1" x14ac:dyDescent="0.3">
      <c r="A14" s="78" t="s">
        <v>5</v>
      </c>
      <c r="B14" s="161" t="s">
        <v>42</v>
      </c>
      <c r="C14" s="160">
        <v>38</v>
      </c>
      <c r="D14" s="78" t="s">
        <v>17</v>
      </c>
      <c r="E14" s="250" t="s">
        <v>18</v>
      </c>
      <c r="F14" s="251"/>
      <c r="G14" s="46"/>
    </row>
    <row r="15" spans="1:7" s="52" customFormat="1" ht="81" x14ac:dyDescent="0.3">
      <c r="A15" s="48" t="s">
        <v>92</v>
      </c>
      <c r="B15" s="49">
        <v>24</v>
      </c>
      <c r="C15" s="152" t="str">
        <f xml:space="preserve"> IF(B15="","",setValueToTime(B15))</f>
        <v>2h</v>
      </c>
      <c r="D15" s="172" t="s">
        <v>191</v>
      </c>
      <c r="E15" s="246"/>
      <c r="F15" s="247"/>
      <c r="G15" s="51"/>
    </row>
    <row r="16" spans="1:7" s="52" customFormat="1" ht="27" x14ac:dyDescent="0.3">
      <c r="A16" s="53" t="s">
        <v>102</v>
      </c>
      <c r="B16" s="54">
        <v>11</v>
      </c>
      <c r="C16" s="154" t="str">
        <f t="shared" ref="C16" si="1" xml:space="preserve"> IF(B16="","",setValueToTime(B16))</f>
        <v>0h55min</v>
      </c>
      <c r="D16" s="175" t="s">
        <v>192</v>
      </c>
      <c r="E16" s="238"/>
      <c r="F16" s="239"/>
      <c r="G16" s="51"/>
    </row>
    <row r="17" spans="1:7" s="52" customFormat="1" x14ac:dyDescent="0.3">
      <c r="A17" s="53" t="s">
        <v>91</v>
      </c>
      <c r="B17" s="54">
        <v>3</v>
      </c>
      <c r="C17" s="153" t="str">
        <f t="shared" ref="C17:C18" si="2" xml:space="preserve"> IF(B17="","",setValueToTime(B17))</f>
        <v>0h15min</v>
      </c>
      <c r="D17" s="175" t="s">
        <v>147</v>
      </c>
      <c r="E17" s="238"/>
      <c r="F17" s="239"/>
      <c r="G17" s="51"/>
    </row>
    <row r="18" spans="1:7" s="52" customFormat="1" ht="54.75" thickBot="1" x14ac:dyDescent="0.35">
      <c r="A18" s="53"/>
      <c r="B18" s="54"/>
      <c r="C18" s="153" t="str">
        <f t="shared" si="2"/>
        <v/>
      </c>
      <c r="D18" s="175" t="s">
        <v>190</v>
      </c>
      <c r="E18" s="238"/>
      <c r="F18" s="239"/>
      <c r="G18" s="51"/>
    </row>
    <row r="19" spans="1:7" s="52" customFormat="1" ht="15" thickBot="1" x14ac:dyDescent="0.35">
      <c r="A19" s="162" t="s">
        <v>31</v>
      </c>
      <c r="B19" s="83">
        <f>SUM(B15:B18)</f>
        <v>38</v>
      </c>
      <c r="C19" s="162" t="str">
        <f xml:space="preserve"> setValueToTime(B19)</f>
        <v>3h10min</v>
      </c>
      <c r="D19" s="121"/>
      <c r="E19" s="248"/>
      <c r="F19" s="249"/>
      <c r="G19" s="51"/>
    </row>
    <row r="20" spans="1:7" s="59" customFormat="1" ht="15" thickBot="1" x14ac:dyDescent="0.35">
      <c r="A20" s="77"/>
      <c r="B20" s="77"/>
      <c r="C20" s="77"/>
      <c r="D20" s="77"/>
      <c r="E20" s="77"/>
      <c r="F20" s="77"/>
      <c r="G20" s="58"/>
    </row>
    <row r="21" spans="1:7" s="47" customFormat="1" ht="30" customHeight="1" thickBot="1" x14ac:dyDescent="0.3">
      <c r="A21" s="156" t="s">
        <v>16</v>
      </c>
      <c r="B21" s="164">
        <v>7</v>
      </c>
      <c r="C21" s="164"/>
      <c r="D21" s="157" t="s">
        <v>19</v>
      </c>
      <c r="E21" s="158" t="s">
        <v>86</v>
      </c>
      <c r="F21" s="159" t="s">
        <v>46</v>
      </c>
      <c r="G21" s="46"/>
    </row>
    <row r="22" spans="1:7" s="47" customFormat="1" ht="30" customHeight="1" thickBot="1" x14ac:dyDescent="0.3">
      <c r="A22" s="78" t="s">
        <v>5</v>
      </c>
      <c r="B22" s="161" t="s">
        <v>42</v>
      </c>
      <c r="C22" s="160">
        <v>48</v>
      </c>
      <c r="D22" s="78" t="s">
        <v>17</v>
      </c>
      <c r="E22" s="250" t="s">
        <v>18</v>
      </c>
      <c r="F22" s="251"/>
      <c r="G22" s="46"/>
    </row>
    <row r="23" spans="1:7" s="52" customFormat="1" ht="54" x14ac:dyDescent="0.3">
      <c r="A23" s="48" t="s">
        <v>92</v>
      </c>
      <c r="B23" s="49">
        <v>12</v>
      </c>
      <c r="C23" s="152" t="str">
        <f xml:space="preserve"> IF(B23="","",setValueToTime(B23))</f>
        <v>1h</v>
      </c>
      <c r="D23" s="172" t="s">
        <v>193</v>
      </c>
      <c r="E23" s="246"/>
      <c r="F23" s="247"/>
      <c r="G23" s="51"/>
    </row>
    <row r="24" spans="1:7" s="52" customFormat="1" ht="81" x14ac:dyDescent="0.3">
      <c r="A24" s="53" t="s">
        <v>96</v>
      </c>
      <c r="B24" s="54">
        <v>23</v>
      </c>
      <c r="C24" s="153" t="str">
        <f t="shared" ref="C24:C28" si="3" xml:space="preserve"> IF(B24="","",setValueToTime(B24))</f>
        <v>1h55min</v>
      </c>
      <c r="D24" s="175" t="s">
        <v>196</v>
      </c>
      <c r="E24" s="238"/>
      <c r="F24" s="239"/>
      <c r="G24" s="51"/>
    </row>
    <row r="25" spans="1:7" s="52" customFormat="1" ht="27" x14ac:dyDescent="0.3">
      <c r="A25" s="53" t="s">
        <v>101</v>
      </c>
      <c r="B25" s="54">
        <v>5</v>
      </c>
      <c r="C25" s="153" t="str">
        <f t="shared" si="3"/>
        <v>0h25min</v>
      </c>
      <c r="D25" s="175" t="s">
        <v>194</v>
      </c>
      <c r="E25" s="238"/>
      <c r="F25" s="239"/>
      <c r="G25" s="51"/>
    </row>
    <row r="26" spans="1:7" s="52" customFormat="1" ht="27" x14ac:dyDescent="0.3">
      <c r="A26" s="53" t="s">
        <v>95</v>
      </c>
      <c r="B26" s="54">
        <v>5</v>
      </c>
      <c r="C26" s="153" t="str">
        <f t="shared" si="3"/>
        <v>0h25min</v>
      </c>
      <c r="D26" s="175" t="s">
        <v>195</v>
      </c>
      <c r="E26" s="252" t="s">
        <v>188</v>
      </c>
      <c r="F26" s="253"/>
      <c r="G26" s="51"/>
    </row>
    <row r="27" spans="1:7" s="52" customFormat="1" x14ac:dyDescent="0.3">
      <c r="A27" s="54" t="s">
        <v>91</v>
      </c>
      <c r="B27" s="54">
        <v>3</v>
      </c>
      <c r="C27" s="154" t="str">
        <f t="shared" si="3"/>
        <v>0h15min</v>
      </c>
      <c r="D27" s="175" t="s">
        <v>178</v>
      </c>
      <c r="E27" s="238"/>
      <c r="F27" s="239"/>
      <c r="G27" s="51"/>
    </row>
    <row r="28" spans="1:7" s="52" customFormat="1" ht="54.75" thickBot="1" x14ac:dyDescent="0.35">
      <c r="A28" s="54"/>
      <c r="B28" s="54"/>
      <c r="C28" s="154" t="str">
        <f t="shared" si="3"/>
        <v/>
      </c>
      <c r="D28" s="175" t="s">
        <v>189</v>
      </c>
      <c r="E28" s="238"/>
      <c r="F28" s="239"/>
      <c r="G28" s="51"/>
    </row>
    <row r="29" spans="1:7" s="52" customFormat="1" ht="15" thickBot="1" x14ac:dyDescent="0.35">
      <c r="A29" s="162" t="s">
        <v>31</v>
      </c>
      <c r="B29" s="83">
        <f>SUM(B23:B28)</f>
        <v>48</v>
      </c>
      <c r="C29" s="162" t="str">
        <f xml:space="preserve"> setValueToTime(B29)</f>
        <v>4h</v>
      </c>
      <c r="D29" s="121"/>
      <c r="E29" s="248"/>
      <c r="F29" s="249"/>
      <c r="G29" s="51"/>
    </row>
    <row r="30" spans="1:7" s="59" customFormat="1" ht="15" thickBot="1" x14ac:dyDescent="0.35">
      <c r="A30" s="77"/>
      <c r="B30" s="77"/>
      <c r="C30" s="77"/>
      <c r="D30" s="77"/>
      <c r="E30" s="77"/>
      <c r="F30" s="77"/>
      <c r="G30" s="58"/>
    </row>
    <row r="31" spans="1:7" s="47" customFormat="1" ht="30" customHeight="1" thickBot="1" x14ac:dyDescent="0.3">
      <c r="A31" s="156" t="s">
        <v>16</v>
      </c>
      <c r="B31" s="164">
        <v>6</v>
      </c>
      <c r="C31" s="164"/>
      <c r="D31" s="157" t="s">
        <v>19</v>
      </c>
      <c r="E31" s="158" t="s">
        <v>87</v>
      </c>
      <c r="F31" s="159" t="s">
        <v>46</v>
      </c>
      <c r="G31" s="46"/>
    </row>
    <row r="32" spans="1:7" s="47" customFormat="1" ht="30" customHeight="1" thickBot="1" x14ac:dyDescent="0.3">
      <c r="A32" s="78" t="s">
        <v>5</v>
      </c>
      <c r="B32" s="161" t="s">
        <v>42</v>
      </c>
      <c r="C32" s="160">
        <v>38</v>
      </c>
      <c r="D32" s="78" t="s">
        <v>17</v>
      </c>
      <c r="E32" s="250" t="s">
        <v>18</v>
      </c>
      <c r="F32" s="251"/>
      <c r="G32" s="46"/>
    </row>
    <row r="33" spans="1:7" s="52" customFormat="1" ht="40.5" x14ac:dyDescent="0.3">
      <c r="A33" s="48" t="s">
        <v>4</v>
      </c>
      <c r="B33" s="49">
        <v>2</v>
      </c>
      <c r="C33" s="152" t="str">
        <f xml:space="preserve"> IF(B33="","",setValueToTime(B33))</f>
        <v>0h10min</v>
      </c>
      <c r="D33" s="172" t="s">
        <v>183</v>
      </c>
      <c r="E33" s="246"/>
      <c r="F33" s="247"/>
      <c r="G33" s="51"/>
    </row>
    <row r="34" spans="1:7" s="52" customFormat="1" x14ac:dyDescent="0.3">
      <c r="A34" s="53" t="s">
        <v>92</v>
      </c>
      <c r="B34" s="54">
        <v>6</v>
      </c>
      <c r="C34" s="153" t="str">
        <f t="shared" ref="C34:C38" si="4" xml:space="preserve"> IF(B34="","",setValueToTime(B34))</f>
        <v>0h30min</v>
      </c>
      <c r="D34" s="175" t="s">
        <v>184</v>
      </c>
      <c r="E34" s="238"/>
      <c r="F34" s="239"/>
      <c r="G34" s="51"/>
    </row>
    <row r="35" spans="1:7" s="52" customFormat="1" ht="27" x14ac:dyDescent="0.3">
      <c r="A35" s="53" t="s">
        <v>94</v>
      </c>
      <c r="B35" s="54">
        <v>10</v>
      </c>
      <c r="C35" s="153" t="str">
        <f t="shared" si="4"/>
        <v>0h50min</v>
      </c>
      <c r="D35" s="175" t="s">
        <v>186</v>
      </c>
      <c r="E35" s="238"/>
      <c r="F35" s="239"/>
      <c r="G35" s="51"/>
    </row>
    <row r="36" spans="1:7" s="52" customFormat="1" ht="40.5" x14ac:dyDescent="0.3">
      <c r="A36" s="53" t="s">
        <v>101</v>
      </c>
      <c r="B36" s="54">
        <v>17</v>
      </c>
      <c r="C36" s="153" t="str">
        <f t="shared" si="4"/>
        <v>1h25min</v>
      </c>
      <c r="D36" s="175" t="s">
        <v>185</v>
      </c>
      <c r="E36" s="238"/>
      <c r="F36" s="239"/>
      <c r="G36" s="51"/>
    </row>
    <row r="37" spans="1:7" s="52" customFormat="1" x14ac:dyDescent="0.3">
      <c r="A37" s="54" t="s">
        <v>91</v>
      </c>
      <c r="B37" s="54">
        <v>3</v>
      </c>
      <c r="C37" s="154" t="str">
        <f t="shared" si="4"/>
        <v>0h15min</v>
      </c>
      <c r="D37" s="175" t="s">
        <v>178</v>
      </c>
      <c r="E37" s="238"/>
      <c r="F37" s="239"/>
      <c r="G37" s="51"/>
    </row>
    <row r="38" spans="1:7" s="52" customFormat="1" ht="41.25" thickBot="1" x14ac:dyDescent="0.35">
      <c r="A38" s="54"/>
      <c r="B38" s="54"/>
      <c r="C38" s="154" t="str">
        <f t="shared" si="4"/>
        <v/>
      </c>
      <c r="D38" s="175" t="s">
        <v>187</v>
      </c>
      <c r="E38" s="238"/>
      <c r="F38" s="239"/>
      <c r="G38" s="51"/>
    </row>
    <row r="39" spans="1:7" s="52" customFormat="1" ht="15" thickBot="1" x14ac:dyDescent="0.35">
      <c r="A39" s="162" t="s">
        <v>31</v>
      </c>
      <c r="B39" s="83">
        <f>SUM(B33:B38)</f>
        <v>38</v>
      </c>
      <c r="C39" s="162" t="str">
        <f xml:space="preserve"> setValueToTime(B39)</f>
        <v>3h10min</v>
      </c>
      <c r="D39" s="121"/>
      <c r="E39" s="248"/>
      <c r="F39" s="249"/>
      <c r="G39" s="51"/>
    </row>
    <row r="40" spans="1:7" s="59" customFormat="1" ht="15" thickBot="1" x14ac:dyDescent="0.35">
      <c r="A40" s="77"/>
      <c r="B40" s="77"/>
      <c r="C40" s="77"/>
      <c r="D40" s="77"/>
      <c r="E40" s="77"/>
      <c r="F40" s="77"/>
      <c r="G40" s="58"/>
    </row>
    <row r="41" spans="1:7" s="47" customFormat="1" ht="30" customHeight="1" thickBot="1" x14ac:dyDescent="0.3">
      <c r="A41" s="156" t="s">
        <v>16</v>
      </c>
      <c r="B41" s="164">
        <v>5</v>
      </c>
      <c r="C41" s="164"/>
      <c r="D41" s="157" t="s">
        <v>19</v>
      </c>
      <c r="E41" s="158" t="s">
        <v>74</v>
      </c>
      <c r="F41" s="159" t="s">
        <v>45</v>
      </c>
      <c r="G41" s="46"/>
    </row>
    <row r="42" spans="1:7" s="47" customFormat="1" ht="30" customHeight="1" thickBot="1" x14ac:dyDescent="0.3">
      <c r="A42" s="78" t="s">
        <v>5</v>
      </c>
      <c r="B42" s="161" t="s">
        <v>42</v>
      </c>
      <c r="C42" s="160">
        <v>38</v>
      </c>
      <c r="D42" s="78" t="s">
        <v>17</v>
      </c>
      <c r="E42" s="250" t="s">
        <v>18</v>
      </c>
      <c r="F42" s="251"/>
      <c r="G42" s="46"/>
    </row>
    <row r="43" spans="1:7" s="52" customFormat="1" ht="162" x14ac:dyDescent="0.3">
      <c r="A43" s="48" t="s">
        <v>94</v>
      </c>
      <c r="B43" s="49">
        <v>20</v>
      </c>
      <c r="C43" s="152" t="str">
        <f xml:space="preserve"> IF(B43="","",setValueToTime(B43))</f>
        <v>1h40min</v>
      </c>
      <c r="D43" s="172" t="s">
        <v>182</v>
      </c>
      <c r="E43" s="254" t="s">
        <v>172</v>
      </c>
      <c r="F43" s="255"/>
      <c r="G43" s="51"/>
    </row>
    <row r="44" spans="1:7" s="52" customFormat="1" ht="40.5" x14ac:dyDescent="0.3">
      <c r="A44" s="53" t="s">
        <v>92</v>
      </c>
      <c r="B44" s="54">
        <v>15</v>
      </c>
      <c r="C44" s="153" t="str">
        <f t="shared" ref="C44:C46" si="5" xml:space="preserve"> IF(B44="","",setValueToTime(B44))</f>
        <v>1h15min</v>
      </c>
      <c r="D44" s="175" t="s">
        <v>179</v>
      </c>
      <c r="E44" s="238"/>
      <c r="F44" s="239"/>
      <c r="G44" s="51"/>
    </row>
    <row r="45" spans="1:7" s="52" customFormat="1" x14ac:dyDescent="0.3">
      <c r="A45" s="53" t="s">
        <v>91</v>
      </c>
      <c r="B45" s="54">
        <v>3</v>
      </c>
      <c r="C45" s="153" t="str">
        <f t="shared" si="5"/>
        <v>0h15min</v>
      </c>
      <c r="D45" s="175" t="s">
        <v>147</v>
      </c>
      <c r="E45" s="238"/>
      <c r="F45" s="239"/>
      <c r="G45" s="51"/>
    </row>
    <row r="46" spans="1:7" s="52" customFormat="1" ht="41.25" thickBot="1" x14ac:dyDescent="0.35">
      <c r="A46" s="53"/>
      <c r="B46" s="54"/>
      <c r="C46" s="153" t="str">
        <f t="shared" si="5"/>
        <v/>
      </c>
      <c r="D46" s="175" t="s">
        <v>181</v>
      </c>
      <c r="E46" s="238"/>
      <c r="F46" s="239"/>
      <c r="G46" s="51"/>
    </row>
    <row r="47" spans="1:7" s="52" customFormat="1" ht="15" thickBot="1" x14ac:dyDescent="0.35">
      <c r="A47" s="162" t="s">
        <v>31</v>
      </c>
      <c r="B47" s="83">
        <f>SUM(B43:B46)</f>
        <v>38</v>
      </c>
      <c r="C47" s="162" t="str">
        <f xml:space="preserve"> setValueToTime(B47)</f>
        <v>3h10min</v>
      </c>
      <c r="D47" s="121"/>
      <c r="E47" s="248"/>
      <c r="F47" s="249"/>
      <c r="G47" s="51"/>
    </row>
    <row r="48" spans="1:7" s="59" customFormat="1" ht="15" thickBot="1" x14ac:dyDescent="0.35">
      <c r="A48" s="77"/>
      <c r="B48" s="77"/>
      <c r="C48" s="77"/>
      <c r="D48" s="77"/>
      <c r="E48" s="77"/>
      <c r="F48" s="77"/>
      <c r="G48" s="58"/>
    </row>
    <row r="49" spans="1:7" s="47" customFormat="1" ht="30" customHeight="1" thickBot="1" x14ac:dyDescent="0.3">
      <c r="A49" s="156" t="s">
        <v>16</v>
      </c>
      <c r="B49" s="164">
        <v>4</v>
      </c>
      <c r="C49" s="164"/>
      <c r="D49" s="157" t="s">
        <v>19</v>
      </c>
      <c r="E49" s="158" t="s">
        <v>74</v>
      </c>
      <c r="F49" s="159" t="s">
        <v>46</v>
      </c>
      <c r="G49" s="46"/>
    </row>
    <row r="50" spans="1:7" s="47" customFormat="1" ht="30" customHeight="1" thickBot="1" x14ac:dyDescent="0.3">
      <c r="A50" s="78" t="s">
        <v>5</v>
      </c>
      <c r="B50" s="161" t="s">
        <v>42</v>
      </c>
      <c r="C50" s="160">
        <v>38</v>
      </c>
      <c r="D50" s="78" t="s">
        <v>17</v>
      </c>
      <c r="E50" s="250" t="s">
        <v>18</v>
      </c>
      <c r="F50" s="251"/>
      <c r="G50" s="46"/>
    </row>
    <row r="51" spans="1:7" s="52" customFormat="1" ht="81" x14ac:dyDescent="0.3">
      <c r="A51" s="48" t="s">
        <v>90</v>
      </c>
      <c r="B51" s="49">
        <v>16</v>
      </c>
      <c r="C51" s="152" t="str">
        <f xml:space="preserve"> IF(B51="","",setValueToTime(B51))</f>
        <v>1h20min</v>
      </c>
      <c r="D51" s="172" t="s">
        <v>177</v>
      </c>
      <c r="E51" s="256" t="s">
        <v>171</v>
      </c>
      <c r="F51" s="257"/>
      <c r="G51" s="51"/>
    </row>
    <row r="52" spans="1:7" s="52" customFormat="1" x14ac:dyDescent="0.3">
      <c r="A52" s="198"/>
      <c r="B52" s="199"/>
      <c r="C52" s="200"/>
      <c r="D52" s="201"/>
      <c r="E52" s="252" t="s">
        <v>170</v>
      </c>
      <c r="F52" s="253"/>
      <c r="G52" s="51"/>
    </row>
    <row r="53" spans="1:7" s="52" customFormat="1" ht="189" x14ac:dyDescent="0.3">
      <c r="A53" s="53" t="s">
        <v>94</v>
      </c>
      <c r="B53" s="54">
        <v>19</v>
      </c>
      <c r="C53" s="153" t="str">
        <f t="shared" ref="C53:C58" si="6" xml:space="preserve"> IF(B53="","",setValueToTime(B53))</f>
        <v>1h35min</v>
      </c>
      <c r="D53" s="175" t="s">
        <v>180</v>
      </c>
      <c r="E53" s="254" t="s">
        <v>172</v>
      </c>
      <c r="F53" s="255"/>
      <c r="G53" s="51"/>
    </row>
    <row r="54" spans="1:7" s="52" customFormat="1" x14ac:dyDescent="0.3">
      <c r="A54" s="53"/>
      <c r="B54" s="54"/>
      <c r="C54" s="153"/>
      <c r="D54" s="175"/>
      <c r="E54" s="258" t="s">
        <v>173</v>
      </c>
      <c r="F54" s="259"/>
      <c r="G54" s="51"/>
    </row>
    <row r="55" spans="1:7" s="52" customFormat="1" x14ac:dyDescent="0.3">
      <c r="A55" s="53"/>
      <c r="B55" s="54"/>
      <c r="C55" s="153"/>
      <c r="D55" s="175"/>
      <c r="E55" s="252" t="s">
        <v>174</v>
      </c>
      <c r="F55" s="253"/>
      <c r="G55" s="51"/>
    </row>
    <row r="56" spans="1:7" s="52" customFormat="1" x14ac:dyDescent="0.3">
      <c r="A56" s="53"/>
      <c r="B56" s="54"/>
      <c r="C56" s="153"/>
      <c r="D56" s="175"/>
      <c r="E56" s="252" t="s">
        <v>175</v>
      </c>
      <c r="F56" s="253"/>
      <c r="G56" s="51"/>
    </row>
    <row r="57" spans="1:7" s="52" customFormat="1" x14ac:dyDescent="0.3">
      <c r="A57" s="53" t="s">
        <v>91</v>
      </c>
      <c r="B57" s="54">
        <v>3</v>
      </c>
      <c r="C57" s="153" t="str">
        <f t="shared" si="6"/>
        <v>0h15min</v>
      </c>
      <c r="D57" s="175" t="s">
        <v>178</v>
      </c>
      <c r="E57" s="238"/>
      <c r="F57" s="239"/>
      <c r="G57" s="51"/>
    </row>
    <row r="58" spans="1:7" s="52" customFormat="1" ht="27.75" thickBot="1" x14ac:dyDescent="0.35">
      <c r="A58" s="53"/>
      <c r="B58" s="54"/>
      <c r="C58" s="153" t="str">
        <f t="shared" si="6"/>
        <v/>
      </c>
      <c r="D58" s="175" t="s">
        <v>176</v>
      </c>
      <c r="E58" s="238"/>
      <c r="F58" s="239"/>
      <c r="G58" s="51"/>
    </row>
    <row r="59" spans="1:7" s="52" customFormat="1" ht="15" thickBot="1" x14ac:dyDescent="0.35">
      <c r="A59" s="162" t="s">
        <v>31</v>
      </c>
      <c r="B59" s="83">
        <f>SUM(B51:B58)</f>
        <v>38</v>
      </c>
      <c r="C59" s="162" t="str">
        <f xml:space="preserve"> setValueToTime(B59)</f>
        <v>3h10min</v>
      </c>
      <c r="D59" s="121"/>
      <c r="E59" s="248"/>
      <c r="F59" s="249"/>
      <c r="G59" s="51"/>
    </row>
    <row r="60" spans="1:7" s="59" customFormat="1" ht="15" thickBot="1" x14ac:dyDescent="0.35">
      <c r="A60" s="77"/>
      <c r="B60" s="77"/>
      <c r="C60" s="77"/>
      <c r="D60" s="77"/>
      <c r="E60" s="77"/>
      <c r="F60" s="77"/>
      <c r="G60" s="58"/>
    </row>
    <row r="61" spans="1:7" s="47" customFormat="1" ht="30" customHeight="1" thickBot="1" x14ac:dyDescent="0.3">
      <c r="A61" s="156" t="s">
        <v>16</v>
      </c>
      <c r="B61" s="164">
        <v>3</v>
      </c>
      <c r="C61" s="164"/>
      <c r="D61" s="157" t="s">
        <v>19</v>
      </c>
      <c r="E61" s="158" t="s">
        <v>75</v>
      </c>
      <c r="F61" s="159" t="s">
        <v>45</v>
      </c>
      <c r="G61" s="46"/>
    </row>
    <row r="62" spans="1:7" s="47" customFormat="1" ht="30" customHeight="1" thickBot="1" x14ac:dyDescent="0.3">
      <c r="A62" s="78" t="s">
        <v>5</v>
      </c>
      <c r="B62" s="161" t="s">
        <v>42</v>
      </c>
      <c r="C62" s="160">
        <v>38</v>
      </c>
      <c r="D62" s="78" t="s">
        <v>17</v>
      </c>
      <c r="E62" s="250" t="s">
        <v>18</v>
      </c>
      <c r="F62" s="251"/>
      <c r="G62" s="46"/>
    </row>
    <row r="63" spans="1:7" s="52" customFormat="1" ht="40.5" x14ac:dyDescent="0.3">
      <c r="A63" s="48" t="s">
        <v>92</v>
      </c>
      <c r="B63" s="49">
        <v>20</v>
      </c>
      <c r="C63" s="152" t="str">
        <f xml:space="preserve"> IF(B63="","",setValueToTime(B63))</f>
        <v>1h40min</v>
      </c>
      <c r="D63" s="172" t="s">
        <v>150</v>
      </c>
      <c r="E63" s="246"/>
      <c r="F63" s="247"/>
      <c r="G63" s="51"/>
    </row>
    <row r="64" spans="1:7" s="52" customFormat="1" ht="40.5" x14ac:dyDescent="0.3">
      <c r="A64" s="53" t="s">
        <v>4</v>
      </c>
      <c r="B64" s="54">
        <v>2</v>
      </c>
      <c r="C64" s="153" t="str">
        <f t="shared" ref="C64" si="7" xml:space="preserve"> IF(B64="","",setValueToTime(B64))</f>
        <v>0h10min</v>
      </c>
      <c r="D64" s="175" t="s">
        <v>154</v>
      </c>
      <c r="E64" s="238"/>
      <c r="F64" s="239"/>
      <c r="G64" s="51"/>
    </row>
    <row r="65" spans="1:7" s="52" customFormat="1" ht="81" x14ac:dyDescent="0.3">
      <c r="A65" s="53" t="s">
        <v>90</v>
      </c>
      <c r="B65" s="54">
        <v>13</v>
      </c>
      <c r="C65" s="153" t="str">
        <f t="shared" ref="C65:C67" si="8" xml:space="preserve"> IF(B65="","",setValueToTime(B65))</f>
        <v>1h5min</v>
      </c>
      <c r="D65" s="175" t="s">
        <v>151</v>
      </c>
      <c r="E65" s="252" t="s">
        <v>153</v>
      </c>
      <c r="F65" s="253"/>
      <c r="G65" s="51"/>
    </row>
    <row r="66" spans="1:7" s="52" customFormat="1" x14ac:dyDescent="0.3">
      <c r="A66" s="53" t="s">
        <v>91</v>
      </c>
      <c r="B66" s="54">
        <v>3</v>
      </c>
      <c r="C66" s="153" t="str">
        <f t="shared" si="8"/>
        <v>0h15min</v>
      </c>
      <c r="D66" s="175" t="s">
        <v>147</v>
      </c>
      <c r="E66" s="238"/>
      <c r="F66" s="239"/>
      <c r="G66" s="51"/>
    </row>
    <row r="67" spans="1:7" s="52" customFormat="1" ht="41.25" thickBot="1" x14ac:dyDescent="0.35">
      <c r="A67" s="54"/>
      <c r="B67" s="54"/>
      <c r="C67" s="154" t="str">
        <f t="shared" si="8"/>
        <v/>
      </c>
      <c r="D67" s="175" t="s">
        <v>152</v>
      </c>
      <c r="E67" s="238"/>
      <c r="F67" s="239"/>
      <c r="G67" s="51"/>
    </row>
    <row r="68" spans="1:7" s="52" customFormat="1" ht="15" thickBot="1" x14ac:dyDescent="0.35">
      <c r="A68" s="162" t="s">
        <v>31</v>
      </c>
      <c r="B68" s="83">
        <f>SUM(B63:B67)</f>
        <v>38</v>
      </c>
      <c r="C68" s="162" t="str">
        <f xml:space="preserve"> setValueToTime(B68)</f>
        <v>3h10min</v>
      </c>
      <c r="D68" s="121"/>
      <c r="E68" s="248"/>
      <c r="F68" s="249"/>
      <c r="G68" s="51"/>
    </row>
    <row r="69" spans="1:7" s="59" customFormat="1" ht="15" thickBot="1" x14ac:dyDescent="0.35">
      <c r="A69" s="77"/>
      <c r="B69" s="77"/>
      <c r="C69" s="77"/>
      <c r="D69" s="77"/>
      <c r="E69" s="77"/>
      <c r="F69" s="77"/>
      <c r="G69" s="58"/>
    </row>
    <row r="70" spans="1:7" s="47" customFormat="1" ht="30" customHeight="1" thickBot="1" x14ac:dyDescent="0.3">
      <c r="A70" s="156" t="s">
        <v>16</v>
      </c>
      <c r="B70" s="164">
        <v>2</v>
      </c>
      <c r="C70" s="164"/>
      <c r="D70" s="157" t="s">
        <v>19</v>
      </c>
      <c r="E70" s="158" t="s">
        <v>75</v>
      </c>
      <c r="F70" s="159" t="s">
        <v>46</v>
      </c>
      <c r="G70" s="46"/>
    </row>
    <row r="71" spans="1:7" s="47" customFormat="1" ht="30" customHeight="1" thickBot="1" x14ac:dyDescent="0.3">
      <c r="A71" s="78" t="s">
        <v>5</v>
      </c>
      <c r="B71" s="161" t="s">
        <v>42</v>
      </c>
      <c r="C71" s="160">
        <v>48</v>
      </c>
      <c r="D71" s="78" t="s">
        <v>17</v>
      </c>
      <c r="E71" s="250" t="s">
        <v>18</v>
      </c>
      <c r="F71" s="251"/>
      <c r="G71" s="46"/>
    </row>
    <row r="72" spans="1:7" s="52" customFormat="1" ht="27" x14ac:dyDescent="0.3">
      <c r="A72" s="48" t="s">
        <v>90</v>
      </c>
      <c r="B72" s="49">
        <v>25</v>
      </c>
      <c r="C72" s="152" t="str">
        <f xml:space="preserve"> IF(B72="","",setValueToTime(B72))</f>
        <v>2h5min</v>
      </c>
      <c r="D72" s="172" t="s">
        <v>129</v>
      </c>
      <c r="E72" s="246"/>
      <c r="F72" s="247"/>
      <c r="G72" s="51"/>
    </row>
    <row r="73" spans="1:7" s="52" customFormat="1" ht="54" x14ac:dyDescent="0.3">
      <c r="A73" s="53" t="s">
        <v>89</v>
      </c>
      <c r="B73" s="54">
        <v>10</v>
      </c>
      <c r="C73" s="153" t="str">
        <f t="shared" ref="C73:C77" si="9" xml:space="preserve"> IF(B73="","",setValueToTime(B73))</f>
        <v>0h50min</v>
      </c>
      <c r="D73" s="175" t="s">
        <v>130</v>
      </c>
      <c r="E73" s="238"/>
      <c r="F73" s="239"/>
      <c r="G73" s="51"/>
    </row>
    <row r="74" spans="1:7" s="52" customFormat="1" ht="27" x14ac:dyDescent="0.3">
      <c r="A74" s="53" t="s">
        <v>103</v>
      </c>
      <c r="B74" s="54">
        <v>5</v>
      </c>
      <c r="C74" s="153" t="str">
        <f t="shared" si="9"/>
        <v>0h25min</v>
      </c>
      <c r="D74" s="175" t="s">
        <v>131</v>
      </c>
      <c r="E74" s="238"/>
      <c r="F74" s="239"/>
      <c r="G74" s="51"/>
    </row>
    <row r="75" spans="1:7" s="52" customFormat="1" ht="27" x14ac:dyDescent="0.3">
      <c r="A75" s="53" t="s">
        <v>92</v>
      </c>
      <c r="B75" s="54">
        <v>5</v>
      </c>
      <c r="C75" s="153" t="str">
        <f t="shared" si="9"/>
        <v>0h25min</v>
      </c>
      <c r="D75" s="175" t="s">
        <v>132</v>
      </c>
      <c r="E75" s="252" t="s">
        <v>134</v>
      </c>
      <c r="F75" s="253"/>
      <c r="G75" s="51"/>
    </row>
    <row r="76" spans="1:7" s="52" customFormat="1" x14ac:dyDescent="0.3">
      <c r="A76" s="54" t="s">
        <v>91</v>
      </c>
      <c r="B76" s="54">
        <v>3</v>
      </c>
      <c r="C76" s="154" t="str">
        <f t="shared" si="9"/>
        <v>0h15min</v>
      </c>
      <c r="D76" s="175" t="s">
        <v>133</v>
      </c>
      <c r="E76" s="238"/>
      <c r="F76" s="239"/>
      <c r="G76" s="51"/>
    </row>
    <row r="77" spans="1:7" s="52" customFormat="1" ht="41.25" thickBot="1" x14ac:dyDescent="0.35">
      <c r="A77" s="54"/>
      <c r="B77" s="54"/>
      <c r="C77" s="154" t="str">
        <f t="shared" si="9"/>
        <v/>
      </c>
      <c r="D77" s="175" t="s">
        <v>149</v>
      </c>
      <c r="E77" s="238"/>
      <c r="F77" s="239"/>
      <c r="G77" s="51"/>
    </row>
    <row r="78" spans="1:7" s="52" customFormat="1" ht="15" thickBot="1" x14ac:dyDescent="0.35">
      <c r="A78" s="162" t="s">
        <v>31</v>
      </c>
      <c r="B78" s="83">
        <f>SUM(B72:B77)</f>
        <v>48</v>
      </c>
      <c r="C78" s="162" t="str">
        <f xml:space="preserve"> setValueToTime(B78)</f>
        <v>4h</v>
      </c>
      <c r="D78" s="121"/>
      <c r="E78" s="248"/>
      <c r="F78" s="249"/>
      <c r="G78" s="51"/>
    </row>
    <row r="79" spans="1:7" s="59" customFormat="1" ht="15" thickBot="1" x14ac:dyDescent="0.35">
      <c r="A79" s="77"/>
      <c r="B79" s="77"/>
      <c r="C79" s="77"/>
      <c r="D79" s="77"/>
      <c r="E79" s="77"/>
      <c r="F79" s="77"/>
      <c r="G79" s="58"/>
    </row>
    <row r="80" spans="1:7" s="47" customFormat="1" ht="30" customHeight="1" thickBot="1" x14ac:dyDescent="0.3">
      <c r="A80" s="156" t="s">
        <v>16</v>
      </c>
      <c r="B80" s="164">
        <v>1</v>
      </c>
      <c r="C80" s="164"/>
      <c r="D80" s="157" t="s">
        <v>19</v>
      </c>
      <c r="E80" s="158" t="s">
        <v>43</v>
      </c>
      <c r="F80" s="159" t="s">
        <v>45</v>
      </c>
      <c r="G80" s="46"/>
    </row>
    <row r="81" spans="1:7" s="47" customFormat="1" ht="30" customHeight="1" thickBot="1" x14ac:dyDescent="0.3">
      <c r="A81" s="78" t="s">
        <v>5</v>
      </c>
      <c r="B81" s="161" t="s">
        <v>42</v>
      </c>
      <c r="C81" s="160">
        <v>38</v>
      </c>
      <c r="D81" s="78" t="s">
        <v>17</v>
      </c>
      <c r="E81" s="250" t="s">
        <v>18</v>
      </c>
      <c r="F81" s="251"/>
      <c r="G81" s="46"/>
    </row>
    <row r="82" spans="1:7" s="52" customFormat="1" ht="108" x14ac:dyDescent="0.3">
      <c r="A82" s="48" t="s">
        <v>89</v>
      </c>
      <c r="B82" s="54">
        <v>8</v>
      </c>
      <c r="C82" s="153" t="str">
        <f t="shared" ref="C82" si="10" xml:space="preserve"> IF(B82="","",setValueToTime(B82))</f>
        <v>0h40min</v>
      </c>
      <c r="D82" s="172" t="s">
        <v>126</v>
      </c>
      <c r="E82" s="246"/>
      <c r="F82" s="247"/>
      <c r="G82" s="51"/>
    </row>
    <row r="83" spans="1:7" s="52" customFormat="1" x14ac:dyDescent="0.3">
      <c r="A83" s="53" t="s">
        <v>4</v>
      </c>
      <c r="B83" s="54">
        <v>5</v>
      </c>
      <c r="C83" s="153" t="str">
        <f t="shared" ref="C83:C87" si="11" xml:space="preserve"> IF(B83="","",setValueToTime(B83))</f>
        <v>0h25min</v>
      </c>
      <c r="D83" s="175" t="s">
        <v>125</v>
      </c>
      <c r="E83" s="238"/>
      <c r="F83" s="239"/>
      <c r="G83" s="51"/>
    </row>
    <row r="84" spans="1:7" s="52" customFormat="1" ht="27" x14ac:dyDescent="0.3">
      <c r="A84" s="53" t="s">
        <v>90</v>
      </c>
      <c r="B84" s="54">
        <v>10</v>
      </c>
      <c r="C84" s="153" t="str">
        <f t="shared" si="11"/>
        <v>0h50min</v>
      </c>
      <c r="D84" s="175" t="s">
        <v>135</v>
      </c>
      <c r="E84" s="238"/>
      <c r="F84" s="239"/>
      <c r="G84" s="51"/>
    </row>
    <row r="85" spans="1:7" s="52" customFormat="1" ht="40.5" x14ac:dyDescent="0.3">
      <c r="A85" s="53" t="s">
        <v>102</v>
      </c>
      <c r="B85" s="54">
        <v>12</v>
      </c>
      <c r="C85" s="153" t="str">
        <f t="shared" si="11"/>
        <v>1h</v>
      </c>
      <c r="D85" s="175" t="s">
        <v>127</v>
      </c>
      <c r="E85" s="238"/>
      <c r="F85" s="239"/>
      <c r="G85" s="51"/>
    </row>
    <row r="86" spans="1:7" s="52" customFormat="1" x14ac:dyDescent="0.3">
      <c r="A86" s="54" t="s">
        <v>91</v>
      </c>
      <c r="B86" s="54">
        <v>3</v>
      </c>
      <c r="C86" s="154" t="str">
        <f t="shared" si="11"/>
        <v>0h15min</v>
      </c>
      <c r="D86" s="175" t="s">
        <v>128</v>
      </c>
      <c r="E86" s="238"/>
      <c r="F86" s="239"/>
      <c r="G86" s="51"/>
    </row>
    <row r="87" spans="1:7" s="52" customFormat="1" ht="27.75" thickBot="1" x14ac:dyDescent="0.35">
      <c r="A87" s="54"/>
      <c r="B87" s="54"/>
      <c r="C87" s="154" t="str">
        <f t="shared" si="11"/>
        <v/>
      </c>
      <c r="D87" s="175" t="s">
        <v>148</v>
      </c>
      <c r="E87" s="238"/>
      <c r="F87" s="239"/>
      <c r="G87" s="51"/>
    </row>
    <row r="88" spans="1:7" s="52" customFormat="1" ht="15" thickBot="1" x14ac:dyDescent="0.35">
      <c r="A88" s="162" t="s">
        <v>31</v>
      </c>
      <c r="B88" s="83">
        <f>SUM(B82:B87)</f>
        <v>38</v>
      </c>
      <c r="C88" s="162" t="str">
        <f xml:space="preserve"> setValueToTime(B88)</f>
        <v>3h10min</v>
      </c>
      <c r="D88" s="121"/>
      <c r="E88" s="248"/>
      <c r="F88" s="249"/>
      <c r="G88" s="51"/>
    </row>
    <row r="89" spans="1:7" s="59" customFormat="1" x14ac:dyDescent="0.3">
      <c r="A89" s="77"/>
      <c r="B89" s="77"/>
      <c r="C89" s="77"/>
      <c r="D89" s="77"/>
      <c r="E89" s="77"/>
      <c r="F89" s="77"/>
      <c r="G89" s="58"/>
    </row>
  </sheetData>
  <sheetProtection formatRows="0" insertRows="0" insertHyperlinks="0" deleteRows="0" selectLockedCells="1"/>
  <mergeCells count="69">
    <mergeCell ref="E10:F10"/>
    <mergeCell ref="E11:F11"/>
    <mergeCell ref="E3:F3"/>
    <mergeCell ref="E4:F4"/>
    <mergeCell ref="E5:F5"/>
    <mergeCell ref="E7:F7"/>
    <mergeCell ref="E8:F8"/>
    <mergeCell ref="E6:F6"/>
    <mergeCell ref="E37:F37"/>
    <mergeCell ref="E38:F38"/>
    <mergeCell ref="E39:F39"/>
    <mergeCell ref="E32:F32"/>
    <mergeCell ref="E33:F33"/>
    <mergeCell ref="E34:F34"/>
    <mergeCell ref="E35:F35"/>
    <mergeCell ref="E36:F36"/>
    <mergeCell ref="E68:F68"/>
    <mergeCell ref="E77:F77"/>
    <mergeCell ref="E78:F78"/>
    <mergeCell ref="E62:F62"/>
    <mergeCell ref="E63:F63"/>
    <mergeCell ref="E64:F64"/>
    <mergeCell ref="E65:F65"/>
    <mergeCell ref="E66:F66"/>
    <mergeCell ref="E67:F67"/>
    <mergeCell ref="E71:F71"/>
    <mergeCell ref="E72:F72"/>
    <mergeCell ref="E73:F73"/>
    <mergeCell ref="E74:F74"/>
    <mergeCell ref="E75:F75"/>
    <mergeCell ref="E76:F76"/>
    <mergeCell ref="E87:F87"/>
    <mergeCell ref="E88:F88"/>
    <mergeCell ref="E81:F81"/>
    <mergeCell ref="E82:F82"/>
    <mergeCell ref="E83:F83"/>
    <mergeCell ref="E84:F84"/>
    <mergeCell ref="E85:F85"/>
    <mergeCell ref="E86:F86"/>
    <mergeCell ref="E59:F59"/>
    <mergeCell ref="E50:F50"/>
    <mergeCell ref="E51:F51"/>
    <mergeCell ref="E53:F53"/>
    <mergeCell ref="E57:F57"/>
    <mergeCell ref="E58:F58"/>
    <mergeCell ref="E54:F54"/>
    <mergeCell ref="E52:F52"/>
    <mergeCell ref="E55:F55"/>
    <mergeCell ref="E56:F56"/>
    <mergeCell ref="E47:F47"/>
    <mergeCell ref="E42:F42"/>
    <mergeCell ref="E43:F43"/>
    <mergeCell ref="E44:F44"/>
    <mergeCell ref="E45:F45"/>
    <mergeCell ref="E46:F46"/>
    <mergeCell ref="E27:F27"/>
    <mergeCell ref="E28:F28"/>
    <mergeCell ref="E29:F29"/>
    <mergeCell ref="E22:F22"/>
    <mergeCell ref="E23:F23"/>
    <mergeCell ref="E24:F24"/>
    <mergeCell ref="E25:F25"/>
    <mergeCell ref="E26:F26"/>
    <mergeCell ref="E19:F19"/>
    <mergeCell ref="E14:F14"/>
    <mergeCell ref="E15:F15"/>
    <mergeCell ref="E16:F16"/>
    <mergeCell ref="E17:F17"/>
    <mergeCell ref="E18:F18"/>
  </mergeCells>
  <phoneticPr fontId="0" type="noConversion"/>
  <conditionalFormatting sqref="B88">
    <cfRule type="cellIs" dxfId="10" priority="37" operator="greaterThan">
      <formula>60</formula>
    </cfRule>
  </conditionalFormatting>
  <conditionalFormatting sqref="B78">
    <cfRule type="cellIs" dxfId="9" priority="36" operator="greaterThan">
      <formula>60</formula>
    </cfRule>
  </conditionalFormatting>
  <conditionalFormatting sqref="B68">
    <cfRule type="cellIs" dxfId="8" priority="35" operator="greaterThan">
      <formula>60</formula>
    </cfRule>
  </conditionalFormatting>
  <conditionalFormatting sqref="B59">
    <cfRule type="cellIs" dxfId="7" priority="6" operator="greaterThan">
      <formula>60</formula>
    </cfRule>
  </conditionalFormatting>
  <conditionalFormatting sqref="B47">
    <cfRule type="cellIs" dxfId="6" priority="5" operator="greaterThan">
      <formula>60</formula>
    </cfRule>
  </conditionalFormatting>
  <conditionalFormatting sqref="B39">
    <cfRule type="cellIs" dxfId="5" priority="4" operator="greaterThan">
      <formula>60</formula>
    </cfRule>
  </conditionalFormatting>
  <conditionalFormatting sqref="B29">
    <cfRule type="cellIs" dxfId="4" priority="3" operator="greaterThan">
      <formula>60</formula>
    </cfRule>
  </conditionalFormatting>
  <conditionalFormatting sqref="B19">
    <cfRule type="cellIs" dxfId="3" priority="2" operator="greaterThan">
      <formula>60</formula>
    </cfRule>
  </conditionalFormatting>
  <conditionalFormatting sqref="B11">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2:B77 B82:B87 B63:B67 B51:B58 B43:B46 B33:B38 B23:B28 B15:B18 B4: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8 B78 B68 B59 B47 B39 B29 B19 B11">
      <formula1>0</formula1>
      <formula2>60</formula2>
    </dataValidation>
    <dataValidation type="list" allowBlank="1" showInputMessage="1" showErrorMessage="1" sqref="A72:A77 A82:A87 A63:A67 A51:A58 A43:A46 A33:A38 A23:A28 A15:A18 A4:A10">
      <formula1>ListeTaches</formula1>
    </dataValidation>
  </dataValidations>
  <hyperlinks>
    <hyperlink ref="E75:F75" r:id="rId1" display="www.tpivd.ch"/>
    <hyperlink ref="E65:F65" r:id="rId2" display="Modèle du tableau tâches"/>
    <hyperlink ref="E51" r:id="rId3"/>
    <hyperlink ref="E54" r:id="rId4"/>
    <hyperlink ref="E53:F53" r:id="rId5" display="moqups.com"/>
    <hyperlink ref="E55:F55" r:id="rId6" display="Application android 2"/>
    <hyperlink ref="E56:F56" r:id="rId7" display="Application android 3"/>
    <hyperlink ref="E52:F52" r:id="rId8" display="Marche à suivre core data"/>
    <hyperlink ref="E43:F43" r:id="rId9" display="moqups.com"/>
    <hyperlink ref="E26:F26" r:id="rId10" display="openclassrooms cocoapods"/>
    <hyperlink ref="E5:F5" r:id="rId11" display="content view"/>
    <hyperlink ref="E6:F6" r:id="rId12" display="UIApplicationDelegat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3"/>
  <headerFooter alignWithMargins="0">
    <oddHeader>&amp;L&amp;"ETML,Normal"&amp;14ETML&amp;R&amp;14&amp;USection Informatique</oddHeader>
    <oddFooter>&amp;L&amp;14&amp;D - GGZ&amp;C&amp;14&amp;F - &amp;A&amp;R&amp;14&amp;P/&amp;N</oddFooter>
  </headerFooter>
  <drawing r:id="rId14"/>
  <legacyDrawing r:id="rId15"/>
  <controls>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447675</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0</xdr:col>
                <xdr:colOff>104775</xdr:colOff>
                <xdr:row>0</xdr:row>
                <xdr:rowOff>85725</xdr:rowOff>
              </from>
              <to>
                <xdr:col>1</xdr:col>
                <xdr:colOff>457200</xdr:colOff>
                <xdr:row>0</xdr:row>
                <xdr:rowOff>552450</xdr:rowOff>
              </to>
            </anchor>
          </controlPr>
        </control>
      </mc:Choice>
      <mc:Fallback>
        <control shapeId="9224" r:id="rId18"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D7" sqref="D7"/>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t="s">
        <v>96</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c r="AS10" s="217"/>
      <c r="AT10" s="217"/>
      <c r="AU10" s="217"/>
      <c r="AV10" s="217"/>
      <c r="AW10" s="217"/>
      <c r="AX10" s="217"/>
      <c r="AY10" s="217"/>
      <c r="AZ10" s="217"/>
      <c r="BA10" s="217"/>
      <c r="BB10" s="217"/>
      <c r="BC10" s="217"/>
      <c r="BD10" s="217"/>
      <c r="BE10" s="217"/>
      <c r="BF10" s="217"/>
      <c r="BG10" s="217"/>
      <c r="BH10" s="217"/>
      <c r="BI10" s="90"/>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90"/>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90"/>
    </row>
    <row r="13" spans="1:61" ht="18.75" thickBot="1" x14ac:dyDescent="0.3">
      <c r="A13" s="233" t="s">
        <v>16</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3"/>
      <c r="B14" s="104"/>
      <c r="C14" s="104"/>
      <c r="D14" s="104"/>
      <c r="E14" s="219" t="s">
        <v>36</v>
      </c>
      <c r="F14" s="219"/>
      <c r="G14" s="219"/>
      <c r="H14" s="219"/>
      <c r="I14" s="104"/>
      <c r="J14" s="104"/>
      <c r="K14" s="220" t="s">
        <v>26</v>
      </c>
      <c r="L14" s="220"/>
      <c r="M14" s="220"/>
      <c r="N14" s="220"/>
      <c r="O14" s="129"/>
      <c r="P14" s="129"/>
      <c r="Q14" s="219" t="s">
        <v>37</v>
      </c>
      <c r="R14" s="219"/>
      <c r="S14" s="219"/>
      <c r="T14" s="219"/>
      <c r="U14" s="104"/>
      <c r="V14" s="104"/>
      <c r="W14" s="220" t="s">
        <v>27</v>
      </c>
      <c r="X14" s="220"/>
      <c r="Y14" s="220"/>
      <c r="Z14" s="220"/>
      <c r="AA14" s="129"/>
      <c r="AB14" s="129"/>
      <c r="AC14" s="219" t="s">
        <v>38</v>
      </c>
      <c r="AD14" s="219"/>
      <c r="AE14" s="219"/>
      <c r="AF14" s="219"/>
      <c r="AG14" s="104"/>
      <c r="AH14" s="104"/>
      <c r="AI14" s="220" t="s">
        <v>28</v>
      </c>
      <c r="AJ14" s="220"/>
      <c r="AK14" s="220"/>
      <c r="AL14" s="220"/>
      <c r="AM14" s="129"/>
      <c r="AN14" s="129"/>
      <c r="AO14" s="219" t="s">
        <v>39</v>
      </c>
      <c r="AP14" s="219"/>
      <c r="AQ14" s="219"/>
      <c r="AR14" s="219"/>
      <c r="AS14" s="104"/>
      <c r="AT14" s="104"/>
      <c r="AU14" s="220" t="s">
        <v>29</v>
      </c>
      <c r="AV14" s="220"/>
      <c r="AW14" s="220"/>
      <c r="AX14" s="220"/>
      <c r="AY14" s="129"/>
      <c r="AZ14" s="129"/>
      <c r="BA14" s="219" t="s">
        <v>40</v>
      </c>
      <c r="BB14" s="219"/>
      <c r="BC14" s="219"/>
      <c r="BD14" s="21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44" t="s">
        <v>18</v>
      </c>
      <c r="F2" s="245"/>
      <c r="G2" s="46"/>
    </row>
    <row r="3" spans="1:7" s="52" customFormat="1" x14ac:dyDescent="0.3">
      <c r="A3" s="48"/>
      <c r="B3" s="49"/>
      <c r="C3" s="152" t="str">
        <f xml:space="preserve"> IF(B3="","",setValueToTime(B3))</f>
        <v/>
      </c>
      <c r="D3" s="50"/>
      <c r="E3" s="246"/>
      <c r="F3" s="247"/>
      <c r="G3" s="51"/>
    </row>
    <row r="4" spans="1:7" s="52" customFormat="1" x14ac:dyDescent="0.3">
      <c r="A4" s="53"/>
      <c r="B4" s="54"/>
      <c r="C4" s="153" t="str">
        <f t="shared" ref="C4:C10" si="0" xml:space="preserve"> IF(B4="","",setValueToTime(B4))</f>
        <v/>
      </c>
      <c r="D4" s="55"/>
      <c r="E4" s="238"/>
      <c r="F4" s="239"/>
      <c r="G4" s="51"/>
    </row>
    <row r="5" spans="1:7" s="52" customFormat="1" x14ac:dyDescent="0.3">
      <c r="A5" s="53"/>
      <c r="B5" s="54"/>
      <c r="C5" s="153" t="str">
        <f t="shared" si="0"/>
        <v/>
      </c>
      <c r="D5" s="55"/>
      <c r="E5" s="238"/>
      <c r="F5" s="239"/>
      <c r="G5" s="51"/>
    </row>
    <row r="6" spans="1:7" s="52" customFormat="1" x14ac:dyDescent="0.3">
      <c r="A6" s="53"/>
      <c r="B6" s="54"/>
      <c r="C6" s="153" t="str">
        <f t="shared" si="0"/>
        <v/>
      </c>
      <c r="D6" s="55"/>
      <c r="E6" s="238"/>
      <c r="F6" s="239"/>
      <c r="G6" s="51"/>
    </row>
    <row r="7" spans="1:7" s="52" customFormat="1" x14ac:dyDescent="0.3">
      <c r="A7" s="54"/>
      <c r="B7" s="54"/>
      <c r="C7" s="154"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ht="15" thickBot="1" x14ac:dyDescent="0.35">
      <c r="A10" s="56"/>
      <c r="B10" s="56"/>
      <c r="C10" s="155" t="str">
        <f t="shared" si="0"/>
        <v/>
      </c>
      <c r="D10" s="57"/>
      <c r="E10" s="240"/>
      <c r="F10" s="241"/>
      <c r="G10" s="51"/>
    </row>
    <row r="11" spans="1:7" s="52" customFormat="1" ht="15" thickBot="1" x14ac:dyDescent="0.35">
      <c r="A11" s="111" t="s">
        <v>31</v>
      </c>
      <c r="B11" s="84">
        <f>SUM(B3:B10)</f>
        <v>0</v>
      </c>
      <c r="C11" s="111" t="str">
        <f xml:space="preserve"> setValueToTime(B11)</f>
        <v>0h</v>
      </c>
      <c r="D11" s="120"/>
      <c r="E11" s="242"/>
      <c r="F11" s="24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50" t="s">
        <v>18</v>
      </c>
      <c r="F2" s="251"/>
      <c r="G2" s="46"/>
    </row>
    <row r="3" spans="1:7" s="52" customFormat="1" x14ac:dyDescent="0.3">
      <c r="A3" s="48"/>
      <c r="B3" s="49"/>
      <c r="C3" s="152" t="str">
        <f xml:space="preserve"> IF(B3="","",setValueToTime(B3))</f>
        <v/>
      </c>
      <c r="D3" s="50"/>
      <c r="E3" s="246"/>
      <c r="F3" s="247"/>
      <c r="G3" s="51"/>
    </row>
    <row r="4" spans="1:7" s="52" customFormat="1" x14ac:dyDescent="0.3">
      <c r="A4" s="53"/>
      <c r="B4" s="54"/>
      <c r="C4" s="153" t="str">
        <f t="shared" ref="C4:C10" si="0" xml:space="preserve"> IF(B4="","",setValueToTime(B4))</f>
        <v/>
      </c>
      <c r="D4" s="55"/>
      <c r="E4" s="238"/>
      <c r="F4" s="239"/>
      <c r="G4" s="51"/>
    </row>
    <row r="5" spans="1:7" s="52" customFormat="1" x14ac:dyDescent="0.3">
      <c r="A5" s="53"/>
      <c r="B5" s="54"/>
      <c r="C5" s="153" t="str">
        <f t="shared" si="0"/>
        <v/>
      </c>
      <c r="D5" s="55"/>
      <c r="E5" s="238"/>
      <c r="F5" s="239"/>
      <c r="G5" s="51"/>
    </row>
    <row r="6" spans="1:7" s="52" customFormat="1" x14ac:dyDescent="0.3">
      <c r="A6" s="53"/>
      <c r="B6" s="54"/>
      <c r="C6" s="153" t="str">
        <f t="shared" si="0"/>
        <v/>
      </c>
      <c r="D6" s="55"/>
      <c r="E6" s="238"/>
      <c r="F6" s="239"/>
      <c r="G6" s="51"/>
    </row>
    <row r="7" spans="1:7" s="52" customFormat="1" x14ac:dyDescent="0.3">
      <c r="A7" s="54"/>
      <c r="B7" s="54"/>
      <c r="C7" s="154"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ht="15" thickBot="1" x14ac:dyDescent="0.35">
      <c r="A10" s="56"/>
      <c r="B10" s="56"/>
      <c r="C10" s="155" t="str">
        <f t="shared" si="0"/>
        <v/>
      </c>
      <c r="D10" s="57"/>
      <c r="E10" s="240"/>
      <c r="F10" s="241"/>
      <c r="G10" s="51"/>
    </row>
    <row r="11" spans="1:7" s="52" customFormat="1" ht="15" thickBot="1" x14ac:dyDescent="0.35">
      <c r="A11" s="162" t="s">
        <v>31</v>
      </c>
      <c r="B11" s="83">
        <f>SUM(B3:B10)</f>
        <v>0</v>
      </c>
      <c r="C11" s="162" t="str">
        <f xml:space="preserve"> setValueToTime(B11)</f>
        <v>0h</v>
      </c>
      <c r="D11" s="121"/>
      <c r="E11" s="248"/>
      <c r="F11" s="24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2021-05-17T09:27:54Z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