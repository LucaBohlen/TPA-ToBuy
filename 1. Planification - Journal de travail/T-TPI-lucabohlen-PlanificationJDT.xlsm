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12" l="1"/>
  <c r="C13" i="12"/>
  <c r="C12" i="12"/>
  <c r="C11" i="12"/>
  <c r="C10" i="12"/>
  <c r="B27" i="12"/>
  <c r="C26" i="12"/>
  <c r="C25" i="12"/>
  <c r="C24" i="12"/>
  <c r="C6" i="12"/>
  <c r="C5" i="12"/>
  <c r="C8" i="12"/>
  <c r="C9" i="12"/>
  <c r="C20" i="12"/>
  <c r="C7" i="12"/>
  <c r="C4" i="12"/>
  <c r="C14" i="12"/>
  <c r="C23" i="12"/>
  <c r="C22" i="12"/>
  <c r="C21" i="12"/>
  <c r="C19" i="12"/>
  <c r="C18" i="12"/>
  <c r="C27" i="12"/>
  <c r="B38" i="12" l="1"/>
  <c r="C37" i="12"/>
  <c r="C36" i="12"/>
  <c r="C35" i="12"/>
  <c r="C34" i="12"/>
  <c r="C32" i="12"/>
  <c r="C31" i="12"/>
  <c r="C38" i="12"/>
  <c r="B46" i="12" l="1"/>
  <c r="C45" i="12"/>
  <c r="B56" i="12"/>
  <c r="C55" i="12"/>
  <c r="C52" i="12"/>
  <c r="C50" i="12"/>
  <c r="C56" i="12"/>
  <c r="C46" i="12"/>
  <c r="C53" i="12"/>
  <c r="C54" i="12"/>
  <c r="C51" i="12"/>
  <c r="C43" i="12"/>
  <c r="C42" i="12"/>
  <c r="C44" i="12"/>
  <c r="B66" i="12" l="1"/>
  <c r="C65" i="12"/>
  <c r="C62" i="12"/>
  <c r="C60" i="12"/>
  <c r="C63" i="12"/>
  <c r="C66" i="12"/>
  <c r="C61" i="12"/>
  <c r="C64" i="12"/>
  <c r="B74" i="12" l="1"/>
  <c r="C73" i="12"/>
  <c r="B86" i="12"/>
  <c r="C85" i="12"/>
  <c r="C70" i="12"/>
  <c r="C71" i="12"/>
  <c r="C74" i="12"/>
  <c r="C80" i="12"/>
  <c r="C84" i="12"/>
  <c r="C72" i="12"/>
  <c r="C78" i="12"/>
  <c r="C86" i="12"/>
  <c r="C104" i="12" l="1"/>
  <c r="C91" i="12"/>
  <c r="C110" i="12"/>
  <c r="C111" i="12"/>
  <c r="C103" i="12"/>
  <c r="C101" i="12"/>
  <c r="C109" i="12"/>
  <c r="C99" i="12"/>
  <c r="C100" i="12"/>
  <c r="C102" i="12"/>
  <c r="B95" i="12" l="1"/>
  <c r="C94" i="12"/>
  <c r="B105" i="12"/>
  <c r="B115" i="12"/>
  <c r="C114"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113" i="12"/>
  <c r="C115" i="12"/>
  <c r="C105" i="12"/>
  <c r="C93" i="12"/>
  <c r="C112" i="12"/>
  <c r="C92" i="12"/>
  <c r="C95" i="12"/>
  <c r="C90"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<sst xmlns="http://schemas.openxmlformats.org/spreadsheetml/2006/main" count="1146" uniqueCount="221">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</sst>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0" fillId="0" borderId="0" xfId="0"/>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vmlDrawing" Target="../drawings/vmlDrawing3.vml"/><Relationship Id="rId3" Type="http://schemas.openxmlformats.org/officeDocument/2006/relationships/hyperlink" Target="https://qastack.fr/programming/28628225/how-to-save-local-data-in-a-swift-app" TargetMode="External"/><Relationship Id="rId21" Type="http://schemas.openxmlformats.org/officeDocument/2006/relationships/control" Target="../activeX/activeX5.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drawing" Target="../drawings/drawing4.xml"/><Relationship Id="rId2" Type="http://schemas.openxmlformats.org/officeDocument/2006/relationships/hyperlink" Target="https://trello.com/fr/tour" TargetMode="External"/><Relationship Id="rId16" Type="http://schemas.openxmlformats.org/officeDocument/2006/relationships/printerSettings" Target="../printerSettings/printerSettings4.bin"/><Relationship Id="rId20" Type="http://schemas.openxmlformats.org/officeDocument/2006/relationships/image" Target="../media/image5.emf"/><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control" Target="../activeX/activeX4.xm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16" t="s">
        <v>34</v>
      </c>
      <c r="C35" s="216"/>
      <c r="D35" s="216"/>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17" t="s">
        <v>35</v>
      </c>
      <c r="C37" s="217"/>
      <c r="D37" s="217"/>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48" t="s">
        <v>33</v>
      </c>
      <c r="D1" s="248"/>
      <c r="E1" s="24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49"/>
      <c r="D7" s="249"/>
      <c r="E7" s="24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44" t="str">
        <f>E96</f>
        <v>89h50min</v>
      </c>
      <c r="H9" s="244"/>
      <c r="I9" s="244"/>
      <c r="J9" s="244"/>
      <c r="K9" s="244"/>
      <c r="L9" s="244"/>
      <c r="M9" s="244"/>
      <c r="N9" s="244"/>
      <c r="O9" s="244"/>
      <c r="P9" s="244"/>
      <c r="Q9" s="244"/>
      <c r="R9" s="244"/>
      <c r="S9" s="244"/>
      <c r="T9" s="244"/>
      <c r="U9" s="244"/>
      <c r="V9" s="119"/>
      <c r="W9" s="243" t="s">
        <v>25</v>
      </c>
      <c r="X9" s="243"/>
      <c r="Y9" s="243"/>
      <c r="Z9" s="243"/>
      <c r="AA9" s="243"/>
      <c r="AB9" s="243"/>
      <c r="AC9" s="243"/>
      <c r="AD9" s="243"/>
      <c r="AE9" s="243"/>
      <c r="AF9" s="243"/>
      <c r="AG9" s="243"/>
      <c r="AH9" s="244" t="str">
        <f>E98</f>
        <v>27h</v>
      </c>
      <c r="AI9" s="244"/>
      <c r="AJ9" s="244"/>
      <c r="AK9" s="244"/>
      <c r="AL9" s="244"/>
      <c r="AM9" s="244"/>
      <c r="AN9" s="244"/>
      <c r="AO9" s="244"/>
      <c r="AP9" s="244"/>
      <c r="AQ9" s="244"/>
      <c r="AR9" s="244"/>
      <c r="AS9" s="244"/>
      <c r="AT9" s="244"/>
      <c r="AU9" s="244"/>
      <c r="AV9" s="244"/>
      <c r="AW9" s="24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5"/>
      <c r="BO10" s="245"/>
      <c r="BP10" s="245"/>
      <c r="BQ10" s="245"/>
      <c r="BR10" s="245"/>
      <c r="BS10" s="245"/>
      <c r="BT10" s="245"/>
      <c r="BU10" s="245"/>
      <c r="BV10" s="245"/>
      <c r="BW10" s="245"/>
      <c r="BX10" s="245"/>
      <c r="BY10" s="245"/>
      <c r="BZ10" s="245"/>
      <c r="CA10" s="245"/>
      <c r="CB10" s="245"/>
      <c r="CC10" s="245"/>
      <c r="CD10" s="245"/>
      <c r="CE10" s="245"/>
      <c r="CF10" s="245"/>
      <c r="CG10" s="245"/>
      <c r="CH10" s="245"/>
      <c r="CI10" s="245"/>
      <c r="CJ10" s="245"/>
      <c r="CK10" s="245"/>
      <c r="CL10" s="245"/>
      <c r="CM10" s="245"/>
      <c r="CN10" s="245"/>
      <c r="CO10" s="245"/>
      <c r="CP10" s="245"/>
      <c r="CQ10" s="92"/>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90"/>
    </row>
    <row r="11" spans="1:1866" ht="20.100000000000001" customHeight="1" x14ac:dyDescent="0.25">
      <c r="B11" s="96"/>
      <c r="C11" s="246"/>
      <c r="D11" s="246"/>
      <c r="E11" s="246"/>
      <c r="F11" s="242" t="s">
        <v>43</v>
      </c>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t="s">
        <v>75</v>
      </c>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19" t="s">
        <v>75</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74</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74</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87</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86</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86</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85</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84</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84</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83</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83</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82</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82</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81</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81</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80</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79</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79</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78</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77</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77</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76</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76</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88</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90"/>
      <c r="BJN11" s="3" t="s">
        <v>43</v>
      </c>
      <c r="BLV11" s="3" t="s">
        <v>43</v>
      </c>
      <c r="BOD11" s="3" t="s">
        <v>43</v>
      </c>
      <c r="BQL11" s="3" t="s">
        <v>43</v>
      </c>
      <c r="BST11" s="3" t="s">
        <v>43</v>
      </c>
    </row>
    <row r="12" spans="1:1866" ht="15.75" customHeight="1" thickBot="1" x14ac:dyDescent="0.3">
      <c r="B12" s="97"/>
      <c r="C12" s="247"/>
      <c r="D12" s="247"/>
      <c r="E12" s="247"/>
      <c r="F12" s="241" t="s">
        <v>45</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46</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0" t="s">
        <v>45</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46</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45</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46</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46</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45</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46</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46</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45</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46</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45</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46</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45</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46</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45</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46</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46</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45</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46</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46</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45</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46</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45</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46</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90"/>
    </row>
    <row r="13" spans="1:1866" ht="42.75" customHeight="1" thickBot="1" x14ac:dyDescent="0.3">
      <c r="B13" s="96"/>
      <c r="C13" s="237" t="s">
        <v>7</v>
      </c>
      <c r="D13" s="144"/>
      <c r="E13" s="239" t="s">
        <v>41</v>
      </c>
      <c r="F13" s="221" t="s">
        <v>8</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30</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21</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44</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73</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72</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71</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70</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69</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68</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67</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66</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65</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64</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63</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62</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61</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60</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59</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58</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57</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56</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55</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54</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53</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52</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90"/>
      <c r="BJN13" s="3" t="s">
        <v>51</v>
      </c>
      <c r="BLV13" s="3" t="s">
        <v>50</v>
      </c>
      <c r="BOD13" s="3" t="s">
        <v>49</v>
      </c>
      <c r="BQL13" s="3" t="s">
        <v>48</v>
      </c>
      <c r="BST13" s="3" t="s">
        <v>47</v>
      </c>
    </row>
    <row r="14" spans="1:1866" ht="12.75" customHeight="1" thickBot="1" x14ac:dyDescent="0.35">
      <c r="B14" s="96"/>
      <c r="C14" s="238"/>
      <c r="D14" s="145"/>
      <c r="E14" s="240"/>
      <c r="F14" s="103"/>
      <c r="G14" s="104"/>
      <c r="H14" s="104"/>
      <c r="I14" s="104"/>
      <c r="J14" s="224" t="s">
        <v>36</v>
      </c>
      <c r="K14" s="224"/>
      <c r="L14" s="224"/>
      <c r="M14" s="224"/>
      <c r="N14" s="104"/>
      <c r="O14" s="104"/>
      <c r="P14" s="225" t="s">
        <v>26</v>
      </c>
      <c r="Q14" s="225"/>
      <c r="R14" s="225"/>
      <c r="S14" s="225"/>
      <c r="T14" s="129"/>
      <c r="U14" s="129"/>
      <c r="V14" s="224" t="s">
        <v>37</v>
      </c>
      <c r="W14" s="224"/>
      <c r="X14" s="224"/>
      <c r="Y14" s="224"/>
      <c r="Z14" s="104"/>
      <c r="AA14" s="104"/>
      <c r="AB14" s="225" t="s">
        <v>27</v>
      </c>
      <c r="AC14" s="225"/>
      <c r="AD14" s="225"/>
      <c r="AE14" s="225"/>
      <c r="AF14" s="129"/>
      <c r="AG14" s="129"/>
      <c r="AH14" s="224" t="s">
        <v>38</v>
      </c>
      <c r="AI14" s="224"/>
      <c r="AJ14" s="224"/>
      <c r="AK14" s="224"/>
      <c r="AL14" s="104"/>
      <c r="AM14" s="104"/>
      <c r="AN14" s="225" t="s">
        <v>28</v>
      </c>
      <c r="AO14" s="225"/>
      <c r="AP14" s="225"/>
      <c r="AQ14" s="225"/>
      <c r="AR14" s="129"/>
      <c r="AS14" s="129"/>
      <c r="AT14" s="224" t="s">
        <v>39</v>
      </c>
      <c r="AU14" s="224"/>
      <c r="AV14" s="224"/>
      <c r="AW14" s="224"/>
      <c r="AX14" s="104"/>
      <c r="AY14" s="104"/>
      <c r="AZ14" s="225" t="s">
        <v>29</v>
      </c>
      <c r="BA14" s="225"/>
      <c r="BB14" s="225"/>
      <c r="BC14" s="225"/>
      <c r="BD14" s="129"/>
      <c r="BE14" s="129"/>
      <c r="BF14" s="224" t="s">
        <v>40</v>
      </c>
      <c r="BG14" s="224"/>
      <c r="BH14" s="224"/>
      <c r="BI14" s="224"/>
      <c r="BJ14" s="104"/>
      <c r="BK14" s="104"/>
      <c r="BL14" s="104"/>
      <c r="BM14" s="105"/>
      <c r="BN14" s="103"/>
      <c r="BO14" s="104"/>
      <c r="BP14" s="104"/>
      <c r="BQ14" s="104"/>
      <c r="BR14" s="224" t="s">
        <v>36</v>
      </c>
      <c r="BS14" s="224"/>
      <c r="BT14" s="224"/>
      <c r="BU14" s="224"/>
      <c r="BV14" s="104"/>
      <c r="BW14" s="104"/>
      <c r="BX14" s="225" t="s">
        <v>26</v>
      </c>
      <c r="BY14" s="225"/>
      <c r="BZ14" s="225"/>
      <c r="CA14" s="225"/>
      <c r="CB14" s="129"/>
      <c r="CC14" s="129"/>
      <c r="CD14" s="224" t="s">
        <v>37</v>
      </c>
      <c r="CE14" s="224"/>
      <c r="CF14" s="224"/>
      <c r="CG14" s="224"/>
      <c r="CH14" s="104"/>
      <c r="CI14" s="104"/>
      <c r="CJ14" s="225" t="s">
        <v>27</v>
      </c>
      <c r="CK14" s="225"/>
      <c r="CL14" s="225"/>
      <c r="CM14" s="225"/>
      <c r="CN14" s="129"/>
      <c r="CO14" s="129"/>
      <c r="CP14" s="224" t="s">
        <v>38</v>
      </c>
      <c r="CQ14" s="224"/>
      <c r="CR14" s="224"/>
      <c r="CS14" s="224"/>
      <c r="CT14" s="104"/>
      <c r="CU14" s="104"/>
      <c r="CV14" s="225" t="s">
        <v>28</v>
      </c>
      <c r="CW14" s="225"/>
      <c r="CX14" s="225"/>
      <c r="CY14" s="225"/>
      <c r="CZ14" s="129"/>
      <c r="DA14" s="129"/>
      <c r="DB14" s="224" t="s">
        <v>39</v>
      </c>
      <c r="DC14" s="224"/>
      <c r="DD14" s="224"/>
      <c r="DE14" s="224"/>
      <c r="DF14" s="104"/>
      <c r="DG14" s="104"/>
      <c r="DH14" s="225" t="s">
        <v>29</v>
      </c>
      <c r="DI14" s="225"/>
      <c r="DJ14" s="225"/>
      <c r="DK14" s="225"/>
      <c r="DL14" s="129"/>
      <c r="DM14" s="129"/>
      <c r="DN14" s="224" t="s">
        <v>40</v>
      </c>
      <c r="DO14" s="224"/>
      <c r="DP14" s="224"/>
      <c r="DQ14" s="224"/>
      <c r="DR14" s="104"/>
      <c r="DS14" s="104"/>
      <c r="DT14" s="104"/>
      <c r="DU14" s="105"/>
      <c r="DV14" s="103"/>
      <c r="DW14" s="104"/>
      <c r="DX14" s="104"/>
      <c r="DY14" s="104"/>
      <c r="DZ14" s="224" t="s">
        <v>36</v>
      </c>
      <c r="EA14" s="224"/>
      <c r="EB14" s="224"/>
      <c r="EC14" s="224"/>
      <c r="ED14" s="104"/>
      <c r="EE14" s="104"/>
      <c r="EF14" s="225" t="s">
        <v>26</v>
      </c>
      <c r="EG14" s="225"/>
      <c r="EH14" s="225"/>
      <c r="EI14" s="225"/>
      <c r="EJ14" s="129"/>
      <c r="EK14" s="129"/>
      <c r="EL14" s="224" t="s">
        <v>37</v>
      </c>
      <c r="EM14" s="224"/>
      <c r="EN14" s="224"/>
      <c r="EO14" s="224"/>
      <c r="EP14" s="104"/>
      <c r="EQ14" s="104"/>
      <c r="ER14" s="225" t="s">
        <v>27</v>
      </c>
      <c r="ES14" s="225"/>
      <c r="ET14" s="225"/>
      <c r="EU14" s="225"/>
      <c r="EV14" s="129"/>
      <c r="EW14" s="129"/>
      <c r="EX14" s="224" t="s">
        <v>38</v>
      </c>
      <c r="EY14" s="224"/>
      <c r="EZ14" s="224"/>
      <c r="FA14" s="224"/>
      <c r="FB14" s="104"/>
      <c r="FC14" s="104"/>
      <c r="FD14" s="225" t="s">
        <v>28</v>
      </c>
      <c r="FE14" s="225"/>
      <c r="FF14" s="225"/>
      <c r="FG14" s="225"/>
      <c r="FH14" s="129"/>
      <c r="FI14" s="129"/>
      <c r="FJ14" s="224" t="s">
        <v>39</v>
      </c>
      <c r="FK14" s="224"/>
      <c r="FL14" s="224"/>
      <c r="FM14" s="224"/>
      <c r="FN14" s="104"/>
      <c r="FO14" s="104"/>
      <c r="FP14" s="225" t="s">
        <v>29</v>
      </c>
      <c r="FQ14" s="225"/>
      <c r="FR14" s="225"/>
      <c r="FS14" s="225"/>
      <c r="FT14" s="129"/>
      <c r="FU14" s="129"/>
      <c r="FV14" s="224" t="s">
        <v>40</v>
      </c>
      <c r="FW14" s="224"/>
      <c r="FX14" s="224"/>
      <c r="FY14" s="224"/>
      <c r="FZ14" s="104"/>
      <c r="GA14" s="104"/>
      <c r="GB14" s="104"/>
      <c r="GC14" s="105"/>
      <c r="GD14" s="103"/>
      <c r="GE14" s="104"/>
      <c r="GF14" s="104"/>
      <c r="GG14" s="104"/>
      <c r="GH14" s="224" t="s">
        <v>36</v>
      </c>
      <c r="GI14" s="224"/>
      <c r="GJ14" s="224"/>
      <c r="GK14" s="224"/>
      <c r="GL14" s="104"/>
      <c r="GM14" s="104"/>
      <c r="GN14" s="225" t="s">
        <v>26</v>
      </c>
      <c r="GO14" s="225"/>
      <c r="GP14" s="225"/>
      <c r="GQ14" s="225"/>
      <c r="GR14" s="129"/>
      <c r="GS14" s="129"/>
      <c r="GT14" s="224" t="s">
        <v>37</v>
      </c>
      <c r="GU14" s="224"/>
      <c r="GV14" s="224"/>
      <c r="GW14" s="224"/>
      <c r="GX14" s="104"/>
      <c r="GY14" s="104"/>
      <c r="GZ14" s="225" t="s">
        <v>27</v>
      </c>
      <c r="HA14" s="225"/>
      <c r="HB14" s="225"/>
      <c r="HC14" s="225"/>
      <c r="HD14" s="129"/>
      <c r="HE14" s="129"/>
      <c r="HF14" s="224" t="s">
        <v>38</v>
      </c>
      <c r="HG14" s="224"/>
      <c r="HH14" s="224"/>
      <c r="HI14" s="224"/>
      <c r="HJ14" s="104"/>
      <c r="HK14" s="104"/>
      <c r="HL14" s="225" t="s">
        <v>28</v>
      </c>
      <c r="HM14" s="225"/>
      <c r="HN14" s="225"/>
      <c r="HO14" s="225"/>
      <c r="HP14" s="129"/>
      <c r="HQ14" s="129"/>
      <c r="HR14" s="224" t="s">
        <v>39</v>
      </c>
      <c r="HS14" s="224"/>
      <c r="HT14" s="224"/>
      <c r="HU14" s="224"/>
      <c r="HV14" s="104"/>
      <c r="HW14" s="104"/>
      <c r="HX14" s="225" t="s">
        <v>29</v>
      </c>
      <c r="HY14" s="225"/>
      <c r="HZ14" s="225"/>
      <c r="IA14" s="225"/>
      <c r="IB14" s="129"/>
      <c r="IC14" s="129"/>
      <c r="ID14" s="224" t="s">
        <v>40</v>
      </c>
      <c r="IE14" s="224"/>
      <c r="IF14" s="224"/>
      <c r="IG14" s="224"/>
      <c r="IH14" s="104"/>
      <c r="II14" s="104"/>
      <c r="IJ14" s="104"/>
      <c r="IK14" s="105"/>
      <c r="IL14" s="103"/>
      <c r="IM14" s="104"/>
      <c r="IN14" s="104"/>
      <c r="IO14" s="104"/>
      <c r="IP14" s="224" t="s">
        <v>36</v>
      </c>
      <c r="IQ14" s="224"/>
      <c r="IR14" s="224"/>
      <c r="IS14" s="224"/>
      <c r="IT14" s="104"/>
      <c r="IU14" s="104"/>
      <c r="IV14" s="225" t="s">
        <v>26</v>
      </c>
      <c r="IW14" s="225"/>
      <c r="IX14" s="225"/>
      <c r="IY14" s="225"/>
      <c r="IZ14" s="129"/>
      <c r="JA14" s="129"/>
      <c r="JB14" s="224" t="s">
        <v>37</v>
      </c>
      <c r="JC14" s="224"/>
      <c r="JD14" s="224"/>
      <c r="JE14" s="224"/>
      <c r="JF14" s="104"/>
      <c r="JG14" s="104"/>
      <c r="JH14" s="225" t="s">
        <v>27</v>
      </c>
      <c r="JI14" s="225"/>
      <c r="JJ14" s="225"/>
      <c r="JK14" s="225"/>
      <c r="JL14" s="129"/>
      <c r="JM14" s="129"/>
      <c r="JN14" s="224" t="s">
        <v>38</v>
      </c>
      <c r="JO14" s="224"/>
      <c r="JP14" s="224"/>
      <c r="JQ14" s="224"/>
      <c r="JR14" s="104"/>
      <c r="JS14" s="104"/>
      <c r="JT14" s="225" t="s">
        <v>28</v>
      </c>
      <c r="JU14" s="225"/>
      <c r="JV14" s="225"/>
      <c r="JW14" s="225"/>
      <c r="JX14" s="129"/>
      <c r="JY14" s="129"/>
      <c r="JZ14" s="224" t="s">
        <v>39</v>
      </c>
      <c r="KA14" s="224"/>
      <c r="KB14" s="224"/>
      <c r="KC14" s="224"/>
      <c r="KD14" s="104"/>
      <c r="KE14" s="104"/>
      <c r="KF14" s="225" t="s">
        <v>29</v>
      </c>
      <c r="KG14" s="225"/>
      <c r="KH14" s="225"/>
      <c r="KI14" s="225"/>
      <c r="KJ14" s="129"/>
      <c r="KK14" s="129"/>
      <c r="KL14" s="224" t="s">
        <v>40</v>
      </c>
      <c r="KM14" s="224"/>
      <c r="KN14" s="224"/>
      <c r="KO14" s="224"/>
      <c r="KP14" s="104"/>
      <c r="KQ14" s="104"/>
      <c r="KR14" s="104"/>
      <c r="KS14" s="105"/>
      <c r="KT14" s="103"/>
      <c r="KU14" s="104"/>
      <c r="KV14" s="104"/>
      <c r="KW14" s="104"/>
      <c r="KX14" s="224" t="s">
        <v>36</v>
      </c>
      <c r="KY14" s="224"/>
      <c r="KZ14" s="224"/>
      <c r="LA14" s="224"/>
      <c r="LB14" s="104"/>
      <c r="LC14" s="104"/>
      <c r="LD14" s="225" t="s">
        <v>26</v>
      </c>
      <c r="LE14" s="225"/>
      <c r="LF14" s="225"/>
      <c r="LG14" s="225"/>
      <c r="LH14" s="129"/>
      <c r="LI14" s="129"/>
      <c r="LJ14" s="224" t="s">
        <v>37</v>
      </c>
      <c r="LK14" s="224"/>
      <c r="LL14" s="224"/>
      <c r="LM14" s="224"/>
      <c r="LN14" s="104"/>
      <c r="LO14" s="104"/>
      <c r="LP14" s="225" t="s">
        <v>27</v>
      </c>
      <c r="LQ14" s="225"/>
      <c r="LR14" s="225"/>
      <c r="LS14" s="225"/>
      <c r="LT14" s="129"/>
      <c r="LU14" s="129"/>
      <c r="LV14" s="224" t="s">
        <v>38</v>
      </c>
      <c r="LW14" s="224"/>
      <c r="LX14" s="224"/>
      <c r="LY14" s="224"/>
      <c r="LZ14" s="104"/>
      <c r="MA14" s="104"/>
      <c r="MB14" s="225" t="s">
        <v>28</v>
      </c>
      <c r="MC14" s="225"/>
      <c r="MD14" s="225"/>
      <c r="ME14" s="225"/>
      <c r="MF14" s="129"/>
      <c r="MG14" s="129"/>
      <c r="MH14" s="224" t="s">
        <v>39</v>
      </c>
      <c r="MI14" s="224"/>
      <c r="MJ14" s="224"/>
      <c r="MK14" s="224"/>
      <c r="ML14" s="104"/>
      <c r="MM14" s="104"/>
      <c r="MN14" s="225" t="s">
        <v>29</v>
      </c>
      <c r="MO14" s="225"/>
      <c r="MP14" s="225"/>
      <c r="MQ14" s="225"/>
      <c r="MR14" s="129"/>
      <c r="MS14" s="129"/>
      <c r="MT14" s="224" t="s">
        <v>40</v>
      </c>
      <c r="MU14" s="224"/>
      <c r="MV14" s="224"/>
      <c r="MW14" s="224"/>
      <c r="MX14" s="104"/>
      <c r="MY14" s="104"/>
      <c r="MZ14" s="104"/>
      <c r="NA14" s="105"/>
      <c r="NB14" s="103"/>
      <c r="NC14" s="104"/>
      <c r="ND14" s="104"/>
      <c r="NE14" s="104"/>
      <c r="NF14" s="224" t="s">
        <v>36</v>
      </c>
      <c r="NG14" s="224"/>
      <c r="NH14" s="224"/>
      <c r="NI14" s="224"/>
      <c r="NJ14" s="104"/>
      <c r="NK14" s="104"/>
      <c r="NL14" s="225" t="s">
        <v>26</v>
      </c>
      <c r="NM14" s="225"/>
      <c r="NN14" s="225"/>
      <c r="NO14" s="225"/>
      <c r="NP14" s="129"/>
      <c r="NQ14" s="129"/>
      <c r="NR14" s="224" t="s">
        <v>37</v>
      </c>
      <c r="NS14" s="224"/>
      <c r="NT14" s="224"/>
      <c r="NU14" s="224"/>
      <c r="NV14" s="104"/>
      <c r="NW14" s="104"/>
      <c r="NX14" s="225" t="s">
        <v>27</v>
      </c>
      <c r="NY14" s="225"/>
      <c r="NZ14" s="225"/>
      <c r="OA14" s="225"/>
      <c r="OB14" s="129"/>
      <c r="OC14" s="129"/>
      <c r="OD14" s="224" t="s">
        <v>38</v>
      </c>
      <c r="OE14" s="224"/>
      <c r="OF14" s="224"/>
      <c r="OG14" s="224"/>
      <c r="OH14" s="104"/>
      <c r="OI14" s="104"/>
      <c r="OJ14" s="225" t="s">
        <v>28</v>
      </c>
      <c r="OK14" s="225"/>
      <c r="OL14" s="225"/>
      <c r="OM14" s="225"/>
      <c r="ON14" s="129"/>
      <c r="OO14" s="129"/>
      <c r="OP14" s="224" t="s">
        <v>39</v>
      </c>
      <c r="OQ14" s="224"/>
      <c r="OR14" s="224"/>
      <c r="OS14" s="224"/>
      <c r="OT14" s="104"/>
      <c r="OU14" s="104"/>
      <c r="OV14" s="225" t="s">
        <v>29</v>
      </c>
      <c r="OW14" s="225"/>
      <c r="OX14" s="225"/>
      <c r="OY14" s="225"/>
      <c r="OZ14" s="129"/>
      <c r="PA14" s="129"/>
      <c r="PB14" s="224" t="s">
        <v>40</v>
      </c>
      <c r="PC14" s="224"/>
      <c r="PD14" s="224"/>
      <c r="PE14" s="224"/>
      <c r="PF14" s="104"/>
      <c r="PG14" s="104"/>
      <c r="PH14" s="104"/>
      <c r="PI14" s="105"/>
      <c r="PJ14" s="103"/>
      <c r="PK14" s="104"/>
      <c r="PL14" s="104"/>
      <c r="PM14" s="104"/>
      <c r="PN14" s="224" t="s">
        <v>36</v>
      </c>
      <c r="PO14" s="224"/>
      <c r="PP14" s="224"/>
      <c r="PQ14" s="224"/>
      <c r="PR14" s="104"/>
      <c r="PS14" s="104"/>
      <c r="PT14" s="225" t="s">
        <v>26</v>
      </c>
      <c r="PU14" s="225"/>
      <c r="PV14" s="225"/>
      <c r="PW14" s="225"/>
      <c r="PX14" s="129"/>
      <c r="PY14" s="129"/>
      <c r="PZ14" s="224" t="s">
        <v>37</v>
      </c>
      <c r="QA14" s="224"/>
      <c r="QB14" s="224"/>
      <c r="QC14" s="224"/>
      <c r="QD14" s="104"/>
      <c r="QE14" s="104"/>
      <c r="QF14" s="225" t="s">
        <v>27</v>
      </c>
      <c r="QG14" s="225"/>
      <c r="QH14" s="225"/>
      <c r="QI14" s="225"/>
      <c r="QJ14" s="129"/>
      <c r="QK14" s="129"/>
      <c r="QL14" s="224" t="s">
        <v>38</v>
      </c>
      <c r="QM14" s="224"/>
      <c r="QN14" s="224"/>
      <c r="QO14" s="224"/>
      <c r="QP14" s="104"/>
      <c r="QQ14" s="104"/>
      <c r="QR14" s="225" t="s">
        <v>28</v>
      </c>
      <c r="QS14" s="225"/>
      <c r="QT14" s="225"/>
      <c r="QU14" s="225"/>
      <c r="QV14" s="129"/>
      <c r="QW14" s="129"/>
      <c r="QX14" s="224" t="s">
        <v>39</v>
      </c>
      <c r="QY14" s="224"/>
      <c r="QZ14" s="224"/>
      <c r="RA14" s="224"/>
      <c r="RB14" s="104"/>
      <c r="RC14" s="104"/>
      <c r="RD14" s="225" t="s">
        <v>29</v>
      </c>
      <c r="RE14" s="225"/>
      <c r="RF14" s="225"/>
      <c r="RG14" s="225"/>
      <c r="RH14" s="129"/>
      <c r="RI14" s="129"/>
      <c r="RJ14" s="224" t="s">
        <v>40</v>
      </c>
      <c r="RK14" s="224"/>
      <c r="RL14" s="224"/>
      <c r="RM14" s="224"/>
      <c r="RN14" s="104"/>
      <c r="RO14" s="104"/>
      <c r="RP14" s="104"/>
      <c r="RQ14" s="105"/>
      <c r="RR14" s="103"/>
      <c r="RS14" s="104"/>
      <c r="RT14" s="104"/>
      <c r="RU14" s="104"/>
      <c r="RV14" s="224" t="s">
        <v>36</v>
      </c>
      <c r="RW14" s="224"/>
      <c r="RX14" s="224"/>
      <c r="RY14" s="224"/>
      <c r="RZ14" s="104"/>
      <c r="SA14" s="104"/>
      <c r="SB14" s="225" t="s">
        <v>26</v>
      </c>
      <c r="SC14" s="225"/>
      <c r="SD14" s="225"/>
      <c r="SE14" s="225"/>
      <c r="SF14" s="129"/>
      <c r="SG14" s="129"/>
      <c r="SH14" s="224" t="s">
        <v>37</v>
      </c>
      <c r="SI14" s="224"/>
      <c r="SJ14" s="224"/>
      <c r="SK14" s="224"/>
      <c r="SL14" s="104"/>
      <c r="SM14" s="104"/>
      <c r="SN14" s="225" t="s">
        <v>27</v>
      </c>
      <c r="SO14" s="225"/>
      <c r="SP14" s="225"/>
      <c r="SQ14" s="225"/>
      <c r="SR14" s="129"/>
      <c r="SS14" s="129"/>
      <c r="ST14" s="224" t="s">
        <v>38</v>
      </c>
      <c r="SU14" s="224"/>
      <c r="SV14" s="224"/>
      <c r="SW14" s="224"/>
      <c r="SX14" s="104"/>
      <c r="SY14" s="104"/>
      <c r="SZ14" s="225" t="s">
        <v>28</v>
      </c>
      <c r="TA14" s="225"/>
      <c r="TB14" s="225"/>
      <c r="TC14" s="225"/>
      <c r="TD14" s="129"/>
      <c r="TE14" s="129"/>
      <c r="TF14" s="224" t="s">
        <v>39</v>
      </c>
      <c r="TG14" s="224"/>
      <c r="TH14" s="224"/>
      <c r="TI14" s="224"/>
      <c r="TJ14" s="104"/>
      <c r="TK14" s="104"/>
      <c r="TL14" s="225" t="s">
        <v>29</v>
      </c>
      <c r="TM14" s="225"/>
      <c r="TN14" s="225"/>
      <c r="TO14" s="225"/>
      <c r="TP14" s="129"/>
      <c r="TQ14" s="129"/>
      <c r="TR14" s="224" t="s">
        <v>40</v>
      </c>
      <c r="TS14" s="224"/>
      <c r="TT14" s="224"/>
      <c r="TU14" s="224"/>
      <c r="TV14" s="104"/>
      <c r="TW14" s="104"/>
      <c r="TX14" s="104"/>
      <c r="TY14" s="105"/>
      <c r="TZ14" s="103"/>
      <c r="UA14" s="104"/>
      <c r="UB14" s="104"/>
      <c r="UC14" s="104"/>
      <c r="UD14" s="224" t="s">
        <v>36</v>
      </c>
      <c r="UE14" s="224"/>
      <c r="UF14" s="224"/>
      <c r="UG14" s="224"/>
      <c r="UH14" s="104"/>
      <c r="UI14" s="104"/>
      <c r="UJ14" s="225" t="s">
        <v>26</v>
      </c>
      <c r="UK14" s="225"/>
      <c r="UL14" s="225"/>
      <c r="UM14" s="225"/>
      <c r="UN14" s="129"/>
      <c r="UO14" s="129"/>
      <c r="UP14" s="224" t="s">
        <v>37</v>
      </c>
      <c r="UQ14" s="224"/>
      <c r="UR14" s="224"/>
      <c r="US14" s="224"/>
      <c r="UT14" s="104"/>
      <c r="UU14" s="104"/>
      <c r="UV14" s="225" t="s">
        <v>27</v>
      </c>
      <c r="UW14" s="225"/>
      <c r="UX14" s="225"/>
      <c r="UY14" s="225"/>
      <c r="UZ14" s="129"/>
      <c r="VA14" s="129"/>
      <c r="VB14" s="224" t="s">
        <v>38</v>
      </c>
      <c r="VC14" s="224"/>
      <c r="VD14" s="224"/>
      <c r="VE14" s="224"/>
      <c r="VF14" s="104"/>
      <c r="VG14" s="104"/>
      <c r="VH14" s="225" t="s">
        <v>28</v>
      </c>
      <c r="VI14" s="225"/>
      <c r="VJ14" s="225"/>
      <c r="VK14" s="225"/>
      <c r="VL14" s="129"/>
      <c r="VM14" s="129"/>
      <c r="VN14" s="224" t="s">
        <v>39</v>
      </c>
      <c r="VO14" s="224"/>
      <c r="VP14" s="224"/>
      <c r="VQ14" s="224"/>
      <c r="VR14" s="104"/>
      <c r="VS14" s="104"/>
      <c r="VT14" s="225" t="s">
        <v>29</v>
      </c>
      <c r="VU14" s="225"/>
      <c r="VV14" s="225"/>
      <c r="VW14" s="225"/>
      <c r="VX14" s="129"/>
      <c r="VY14" s="129"/>
      <c r="VZ14" s="224" t="s">
        <v>40</v>
      </c>
      <c r="WA14" s="224"/>
      <c r="WB14" s="224"/>
      <c r="WC14" s="224"/>
      <c r="WD14" s="104"/>
      <c r="WE14" s="104"/>
      <c r="WF14" s="104"/>
      <c r="WG14" s="105"/>
      <c r="WH14" s="103"/>
      <c r="WI14" s="104"/>
      <c r="WJ14" s="104"/>
      <c r="WK14" s="104"/>
      <c r="WL14" s="224" t="s">
        <v>36</v>
      </c>
      <c r="WM14" s="224"/>
      <c r="WN14" s="224"/>
      <c r="WO14" s="224"/>
      <c r="WP14" s="104"/>
      <c r="WQ14" s="104"/>
      <c r="WR14" s="225" t="s">
        <v>26</v>
      </c>
      <c r="WS14" s="225"/>
      <c r="WT14" s="225"/>
      <c r="WU14" s="225"/>
      <c r="WV14" s="129"/>
      <c r="WW14" s="129"/>
      <c r="WX14" s="224" t="s">
        <v>37</v>
      </c>
      <c r="WY14" s="224"/>
      <c r="WZ14" s="224"/>
      <c r="XA14" s="224"/>
      <c r="XB14" s="104"/>
      <c r="XC14" s="104"/>
      <c r="XD14" s="225" t="s">
        <v>27</v>
      </c>
      <c r="XE14" s="225"/>
      <c r="XF14" s="225"/>
      <c r="XG14" s="225"/>
      <c r="XH14" s="129"/>
      <c r="XI14" s="129"/>
      <c r="XJ14" s="224" t="s">
        <v>38</v>
      </c>
      <c r="XK14" s="224"/>
      <c r="XL14" s="224"/>
      <c r="XM14" s="224"/>
      <c r="XN14" s="104"/>
      <c r="XO14" s="104"/>
      <c r="XP14" s="225" t="s">
        <v>28</v>
      </c>
      <c r="XQ14" s="225"/>
      <c r="XR14" s="225"/>
      <c r="XS14" s="225"/>
      <c r="XT14" s="129"/>
      <c r="XU14" s="129"/>
      <c r="XV14" s="224" t="s">
        <v>39</v>
      </c>
      <c r="XW14" s="224"/>
      <c r="XX14" s="224"/>
      <c r="XY14" s="224"/>
      <c r="XZ14" s="104"/>
      <c r="YA14" s="104"/>
      <c r="YB14" s="225" t="s">
        <v>29</v>
      </c>
      <c r="YC14" s="225"/>
      <c r="YD14" s="225"/>
      <c r="YE14" s="225"/>
      <c r="YF14" s="129"/>
      <c r="YG14" s="129"/>
      <c r="YH14" s="224" t="s">
        <v>40</v>
      </c>
      <c r="YI14" s="224"/>
      <c r="YJ14" s="224"/>
      <c r="YK14" s="224"/>
      <c r="YL14" s="104"/>
      <c r="YM14" s="104"/>
      <c r="YN14" s="104"/>
      <c r="YO14" s="105"/>
      <c r="YP14" s="103"/>
      <c r="YQ14" s="104"/>
      <c r="YR14" s="104"/>
      <c r="YS14" s="104"/>
      <c r="YT14" s="224" t="s">
        <v>36</v>
      </c>
      <c r="YU14" s="224"/>
      <c r="YV14" s="224"/>
      <c r="YW14" s="224"/>
      <c r="YX14" s="104"/>
      <c r="YY14" s="104"/>
      <c r="YZ14" s="225" t="s">
        <v>26</v>
      </c>
      <c r="ZA14" s="225"/>
      <c r="ZB14" s="225"/>
      <c r="ZC14" s="225"/>
      <c r="ZD14" s="129"/>
      <c r="ZE14" s="129"/>
      <c r="ZF14" s="224" t="s">
        <v>37</v>
      </c>
      <c r="ZG14" s="224"/>
      <c r="ZH14" s="224"/>
      <c r="ZI14" s="224"/>
      <c r="ZJ14" s="104"/>
      <c r="ZK14" s="104"/>
      <c r="ZL14" s="225" t="s">
        <v>27</v>
      </c>
      <c r="ZM14" s="225"/>
      <c r="ZN14" s="225"/>
      <c r="ZO14" s="225"/>
      <c r="ZP14" s="129"/>
      <c r="ZQ14" s="129"/>
      <c r="ZR14" s="224" t="s">
        <v>38</v>
      </c>
      <c r="ZS14" s="224"/>
      <c r="ZT14" s="224"/>
      <c r="ZU14" s="224"/>
      <c r="ZV14" s="104"/>
      <c r="ZW14" s="104"/>
      <c r="ZX14" s="225" t="s">
        <v>28</v>
      </c>
      <c r="ZY14" s="225"/>
      <c r="ZZ14" s="225"/>
      <c r="AAA14" s="225"/>
      <c r="AAB14" s="129"/>
      <c r="AAC14" s="129"/>
      <c r="AAD14" s="224" t="s">
        <v>39</v>
      </c>
      <c r="AAE14" s="224"/>
      <c r="AAF14" s="224"/>
      <c r="AAG14" s="224"/>
      <c r="AAH14" s="104"/>
      <c r="AAI14" s="104"/>
      <c r="AAJ14" s="225" t="s">
        <v>29</v>
      </c>
      <c r="AAK14" s="225"/>
      <c r="AAL14" s="225"/>
      <c r="AAM14" s="225"/>
      <c r="AAN14" s="129"/>
      <c r="AAO14" s="129"/>
      <c r="AAP14" s="224" t="s">
        <v>40</v>
      </c>
      <c r="AAQ14" s="224"/>
      <c r="AAR14" s="224"/>
      <c r="AAS14" s="224"/>
      <c r="AAT14" s="104"/>
      <c r="AAU14" s="104"/>
      <c r="AAV14" s="104"/>
      <c r="AAW14" s="105"/>
      <c r="AAX14" s="103"/>
      <c r="AAY14" s="104"/>
      <c r="AAZ14" s="104"/>
      <c r="ABA14" s="104"/>
      <c r="ABB14" s="224" t="s">
        <v>36</v>
      </c>
      <c r="ABC14" s="224"/>
      <c r="ABD14" s="224"/>
      <c r="ABE14" s="224"/>
      <c r="ABF14" s="104"/>
      <c r="ABG14" s="104"/>
      <c r="ABH14" s="225" t="s">
        <v>26</v>
      </c>
      <c r="ABI14" s="225"/>
      <c r="ABJ14" s="225"/>
      <c r="ABK14" s="225"/>
      <c r="ABL14" s="129"/>
      <c r="ABM14" s="129"/>
      <c r="ABN14" s="224" t="s">
        <v>37</v>
      </c>
      <c r="ABO14" s="224"/>
      <c r="ABP14" s="224"/>
      <c r="ABQ14" s="224"/>
      <c r="ABR14" s="104"/>
      <c r="ABS14" s="104"/>
      <c r="ABT14" s="225" t="s">
        <v>27</v>
      </c>
      <c r="ABU14" s="225"/>
      <c r="ABV14" s="225"/>
      <c r="ABW14" s="225"/>
      <c r="ABX14" s="129"/>
      <c r="ABY14" s="129"/>
      <c r="ABZ14" s="224" t="s">
        <v>38</v>
      </c>
      <c r="ACA14" s="224"/>
      <c r="ACB14" s="224"/>
      <c r="ACC14" s="224"/>
      <c r="ACD14" s="104"/>
      <c r="ACE14" s="104"/>
      <c r="ACF14" s="225" t="s">
        <v>28</v>
      </c>
      <c r="ACG14" s="225"/>
      <c r="ACH14" s="225"/>
      <c r="ACI14" s="225"/>
      <c r="ACJ14" s="129"/>
      <c r="ACK14" s="129"/>
      <c r="ACL14" s="224" t="s">
        <v>39</v>
      </c>
      <c r="ACM14" s="224"/>
      <c r="ACN14" s="224"/>
      <c r="ACO14" s="224"/>
      <c r="ACP14" s="104"/>
      <c r="ACQ14" s="104"/>
      <c r="ACR14" s="225" t="s">
        <v>29</v>
      </c>
      <c r="ACS14" s="225"/>
      <c r="ACT14" s="225"/>
      <c r="ACU14" s="225"/>
      <c r="ACV14" s="129"/>
      <c r="ACW14" s="129"/>
      <c r="ACX14" s="224" t="s">
        <v>40</v>
      </c>
      <c r="ACY14" s="224"/>
      <c r="ACZ14" s="224"/>
      <c r="ADA14" s="224"/>
      <c r="ADB14" s="104"/>
      <c r="ADC14" s="104"/>
      <c r="ADD14" s="104"/>
      <c r="ADE14" s="105"/>
      <c r="ADF14" s="103"/>
      <c r="ADG14" s="104"/>
      <c r="ADH14" s="104"/>
      <c r="ADI14" s="104"/>
      <c r="ADJ14" s="224" t="s">
        <v>36</v>
      </c>
      <c r="ADK14" s="224"/>
      <c r="ADL14" s="224"/>
      <c r="ADM14" s="224"/>
      <c r="ADN14" s="104"/>
      <c r="ADO14" s="104"/>
      <c r="ADP14" s="225" t="s">
        <v>26</v>
      </c>
      <c r="ADQ14" s="225"/>
      <c r="ADR14" s="225"/>
      <c r="ADS14" s="225"/>
      <c r="ADT14" s="129"/>
      <c r="ADU14" s="129"/>
      <c r="ADV14" s="224" t="s">
        <v>37</v>
      </c>
      <c r="ADW14" s="224"/>
      <c r="ADX14" s="224"/>
      <c r="ADY14" s="224"/>
      <c r="ADZ14" s="104"/>
      <c r="AEA14" s="104"/>
      <c r="AEB14" s="225" t="s">
        <v>27</v>
      </c>
      <c r="AEC14" s="225"/>
      <c r="AED14" s="225"/>
      <c r="AEE14" s="225"/>
      <c r="AEF14" s="129"/>
      <c r="AEG14" s="129"/>
      <c r="AEH14" s="224" t="s">
        <v>38</v>
      </c>
      <c r="AEI14" s="224"/>
      <c r="AEJ14" s="224"/>
      <c r="AEK14" s="224"/>
      <c r="AEL14" s="104"/>
      <c r="AEM14" s="104"/>
      <c r="AEN14" s="225" t="s">
        <v>28</v>
      </c>
      <c r="AEO14" s="225"/>
      <c r="AEP14" s="225"/>
      <c r="AEQ14" s="225"/>
      <c r="AER14" s="129"/>
      <c r="AES14" s="129"/>
      <c r="AET14" s="224" t="s">
        <v>39</v>
      </c>
      <c r="AEU14" s="224"/>
      <c r="AEV14" s="224"/>
      <c r="AEW14" s="224"/>
      <c r="AEX14" s="104"/>
      <c r="AEY14" s="104"/>
      <c r="AEZ14" s="225" t="s">
        <v>29</v>
      </c>
      <c r="AFA14" s="225"/>
      <c r="AFB14" s="225"/>
      <c r="AFC14" s="225"/>
      <c r="AFD14" s="129"/>
      <c r="AFE14" s="129"/>
      <c r="AFF14" s="224" t="s">
        <v>40</v>
      </c>
      <c r="AFG14" s="224"/>
      <c r="AFH14" s="224"/>
      <c r="AFI14" s="224"/>
      <c r="AFJ14" s="104"/>
      <c r="AFK14" s="104"/>
      <c r="AFL14" s="104"/>
      <c r="AFM14" s="105"/>
      <c r="AFN14" s="103"/>
      <c r="AFO14" s="104"/>
      <c r="AFP14" s="104"/>
      <c r="AFQ14" s="104"/>
      <c r="AFR14" s="224" t="s">
        <v>36</v>
      </c>
      <c r="AFS14" s="224"/>
      <c r="AFT14" s="224"/>
      <c r="AFU14" s="224"/>
      <c r="AFV14" s="104"/>
      <c r="AFW14" s="104"/>
      <c r="AFX14" s="225" t="s">
        <v>26</v>
      </c>
      <c r="AFY14" s="225"/>
      <c r="AFZ14" s="225"/>
      <c r="AGA14" s="225"/>
      <c r="AGB14" s="129"/>
      <c r="AGC14" s="129"/>
      <c r="AGD14" s="224" t="s">
        <v>37</v>
      </c>
      <c r="AGE14" s="224"/>
      <c r="AGF14" s="224"/>
      <c r="AGG14" s="224"/>
      <c r="AGH14" s="104"/>
      <c r="AGI14" s="104"/>
      <c r="AGJ14" s="225" t="s">
        <v>27</v>
      </c>
      <c r="AGK14" s="225"/>
      <c r="AGL14" s="225"/>
      <c r="AGM14" s="225"/>
      <c r="AGN14" s="129"/>
      <c r="AGO14" s="129"/>
      <c r="AGP14" s="224" t="s">
        <v>38</v>
      </c>
      <c r="AGQ14" s="224"/>
      <c r="AGR14" s="224"/>
      <c r="AGS14" s="224"/>
      <c r="AGT14" s="104"/>
      <c r="AGU14" s="104"/>
      <c r="AGV14" s="225" t="s">
        <v>28</v>
      </c>
      <c r="AGW14" s="225"/>
      <c r="AGX14" s="225"/>
      <c r="AGY14" s="225"/>
      <c r="AGZ14" s="129"/>
      <c r="AHA14" s="129"/>
      <c r="AHB14" s="224" t="s">
        <v>39</v>
      </c>
      <c r="AHC14" s="224"/>
      <c r="AHD14" s="224"/>
      <c r="AHE14" s="224"/>
      <c r="AHF14" s="104"/>
      <c r="AHG14" s="104"/>
      <c r="AHH14" s="225" t="s">
        <v>29</v>
      </c>
      <c r="AHI14" s="225"/>
      <c r="AHJ14" s="225"/>
      <c r="AHK14" s="225"/>
      <c r="AHL14" s="129"/>
      <c r="AHM14" s="129"/>
      <c r="AHN14" s="224" t="s">
        <v>40</v>
      </c>
      <c r="AHO14" s="224"/>
      <c r="AHP14" s="224"/>
      <c r="AHQ14" s="224"/>
      <c r="AHR14" s="104"/>
      <c r="AHS14" s="104"/>
      <c r="AHT14" s="104"/>
      <c r="AHU14" s="105"/>
      <c r="AHV14" s="103"/>
      <c r="AHW14" s="104"/>
      <c r="AHX14" s="104"/>
      <c r="AHY14" s="104"/>
      <c r="AHZ14" s="224" t="s">
        <v>36</v>
      </c>
      <c r="AIA14" s="224"/>
      <c r="AIB14" s="224"/>
      <c r="AIC14" s="224"/>
      <c r="AID14" s="104"/>
      <c r="AIE14" s="104"/>
      <c r="AIF14" s="225" t="s">
        <v>26</v>
      </c>
      <c r="AIG14" s="225"/>
      <c r="AIH14" s="225"/>
      <c r="AII14" s="225"/>
      <c r="AIJ14" s="129"/>
      <c r="AIK14" s="129"/>
      <c r="AIL14" s="224" t="s">
        <v>37</v>
      </c>
      <c r="AIM14" s="224"/>
      <c r="AIN14" s="224"/>
      <c r="AIO14" s="224"/>
      <c r="AIP14" s="104"/>
      <c r="AIQ14" s="104"/>
      <c r="AIR14" s="225" t="s">
        <v>27</v>
      </c>
      <c r="AIS14" s="225"/>
      <c r="AIT14" s="225"/>
      <c r="AIU14" s="225"/>
      <c r="AIV14" s="129"/>
      <c r="AIW14" s="129"/>
      <c r="AIX14" s="224" t="s">
        <v>38</v>
      </c>
      <c r="AIY14" s="224"/>
      <c r="AIZ14" s="224"/>
      <c r="AJA14" s="224"/>
      <c r="AJB14" s="104"/>
      <c r="AJC14" s="104"/>
      <c r="AJD14" s="225" t="s">
        <v>28</v>
      </c>
      <c r="AJE14" s="225"/>
      <c r="AJF14" s="225"/>
      <c r="AJG14" s="225"/>
      <c r="AJH14" s="129"/>
      <c r="AJI14" s="129"/>
      <c r="AJJ14" s="224" t="s">
        <v>39</v>
      </c>
      <c r="AJK14" s="224"/>
      <c r="AJL14" s="224"/>
      <c r="AJM14" s="224"/>
      <c r="AJN14" s="104"/>
      <c r="AJO14" s="104"/>
      <c r="AJP14" s="225" t="s">
        <v>29</v>
      </c>
      <c r="AJQ14" s="225"/>
      <c r="AJR14" s="225"/>
      <c r="AJS14" s="225"/>
      <c r="AJT14" s="129"/>
      <c r="AJU14" s="129"/>
      <c r="AJV14" s="224" t="s">
        <v>40</v>
      </c>
      <c r="AJW14" s="224"/>
      <c r="AJX14" s="224"/>
      <c r="AJY14" s="224"/>
      <c r="AJZ14" s="104"/>
      <c r="AKA14" s="104"/>
      <c r="AKB14" s="104"/>
      <c r="AKC14" s="105"/>
      <c r="AKD14" s="103"/>
      <c r="AKE14" s="104"/>
      <c r="AKF14" s="104"/>
      <c r="AKG14" s="104"/>
      <c r="AKH14" s="224" t="s">
        <v>36</v>
      </c>
      <c r="AKI14" s="224"/>
      <c r="AKJ14" s="224"/>
      <c r="AKK14" s="224"/>
      <c r="AKL14" s="104"/>
      <c r="AKM14" s="104"/>
      <c r="AKN14" s="225" t="s">
        <v>26</v>
      </c>
      <c r="AKO14" s="225"/>
      <c r="AKP14" s="225"/>
      <c r="AKQ14" s="225"/>
      <c r="AKR14" s="129"/>
      <c r="AKS14" s="129"/>
      <c r="AKT14" s="224" t="s">
        <v>37</v>
      </c>
      <c r="AKU14" s="224"/>
      <c r="AKV14" s="224"/>
      <c r="AKW14" s="224"/>
      <c r="AKX14" s="104"/>
      <c r="AKY14" s="104"/>
      <c r="AKZ14" s="225" t="s">
        <v>27</v>
      </c>
      <c r="ALA14" s="225"/>
      <c r="ALB14" s="225"/>
      <c r="ALC14" s="225"/>
      <c r="ALD14" s="129"/>
      <c r="ALE14" s="129"/>
      <c r="ALF14" s="224" t="s">
        <v>38</v>
      </c>
      <c r="ALG14" s="224"/>
      <c r="ALH14" s="224"/>
      <c r="ALI14" s="224"/>
      <c r="ALJ14" s="104"/>
      <c r="ALK14" s="104"/>
      <c r="ALL14" s="225" t="s">
        <v>28</v>
      </c>
      <c r="ALM14" s="225"/>
      <c r="ALN14" s="225"/>
      <c r="ALO14" s="225"/>
      <c r="ALP14" s="129"/>
      <c r="ALQ14" s="129"/>
      <c r="ALR14" s="224" t="s">
        <v>39</v>
      </c>
      <c r="ALS14" s="224"/>
      <c r="ALT14" s="224"/>
      <c r="ALU14" s="224"/>
      <c r="ALV14" s="104"/>
      <c r="ALW14" s="104"/>
      <c r="ALX14" s="225" t="s">
        <v>29</v>
      </c>
      <c r="ALY14" s="225"/>
      <c r="ALZ14" s="225"/>
      <c r="AMA14" s="225"/>
      <c r="AMB14" s="129"/>
      <c r="AMC14" s="129"/>
      <c r="AMD14" s="224" t="s">
        <v>40</v>
      </c>
      <c r="AME14" s="224"/>
      <c r="AMF14" s="224"/>
      <c r="AMG14" s="224"/>
      <c r="AMH14" s="104"/>
      <c r="AMI14" s="104"/>
      <c r="AMJ14" s="104"/>
      <c r="AMK14" s="105"/>
      <c r="AML14" s="103"/>
      <c r="AMM14" s="104"/>
      <c r="AMN14" s="104"/>
      <c r="AMO14" s="104"/>
      <c r="AMP14" s="224" t="s">
        <v>36</v>
      </c>
      <c r="AMQ14" s="224"/>
      <c r="AMR14" s="224"/>
      <c r="AMS14" s="224"/>
      <c r="AMT14" s="104"/>
      <c r="AMU14" s="104"/>
      <c r="AMV14" s="225" t="s">
        <v>26</v>
      </c>
      <c r="AMW14" s="225"/>
      <c r="AMX14" s="225"/>
      <c r="AMY14" s="225"/>
      <c r="AMZ14" s="129"/>
      <c r="ANA14" s="129"/>
      <c r="ANB14" s="224" t="s">
        <v>37</v>
      </c>
      <c r="ANC14" s="224"/>
      <c r="AND14" s="224"/>
      <c r="ANE14" s="224"/>
      <c r="ANF14" s="104"/>
      <c r="ANG14" s="104"/>
      <c r="ANH14" s="225" t="s">
        <v>27</v>
      </c>
      <c r="ANI14" s="225"/>
      <c r="ANJ14" s="225"/>
      <c r="ANK14" s="225"/>
      <c r="ANL14" s="129"/>
      <c r="ANM14" s="129"/>
      <c r="ANN14" s="224" t="s">
        <v>38</v>
      </c>
      <c r="ANO14" s="224"/>
      <c r="ANP14" s="224"/>
      <c r="ANQ14" s="224"/>
      <c r="ANR14" s="104"/>
      <c r="ANS14" s="104"/>
      <c r="ANT14" s="225" t="s">
        <v>28</v>
      </c>
      <c r="ANU14" s="225"/>
      <c r="ANV14" s="225"/>
      <c r="ANW14" s="225"/>
      <c r="ANX14" s="129"/>
      <c r="ANY14" s="129"/>
      <c r="ANZ14" s="224" t="s">
        <v>39</v>
      </c>
      <c r="AOA14" s="224"/>
      <c r="AOB14" s="224"/>
      <c r="AOC14" s="224"/>
      <c r="AOD14" s="104"/>
      <c r="AOE14" s="104"/>
      <c r="AOF14" s="225" t="s">
        <v>29</v>
      </c>
      <c r="AOG14" s="225"/>
      <c r="AOH14" s="225"/>
      <c r="AOI14" s="225"/>
      <c r="AOJ14" s="129"/>
      <c r="AOK14" s="129"/>
      <c r="AOL14" s="224" t="s">
        <v>40</v>
      </c>
      <c r="AOM14" s="224"/>
      <c r="AON14" s="224"/>
      <c r="AOO14" s="224"/>
      <c r="AOP14" s="104"/>
      <c r="AOQ14" s="104"/>
      <c r="AOR14" s="104"/>
      <c r="AOS14" s="105"/>
      <c r="AOT14" s="103"/>
      <c r="AOU14" s="104"/>
      <c r="AOV14" s="104"/>
      <c r="AOW14" s="104"/>
      <c r="AOX14" s="224" t="s">
        <v>36</v>
      </c>
      <c r="AOY14" s="224"/>
      <c r="AOZ14" s="224"/>
      <c r="APA14" s="224"/>
      <c r="APB14" s="104"/>
      <c r="APC14" s="104"/>
      <c r="APD14" s="225" t="s">
        <v>26</v>
      </c>
      <c r="APE14" s="225"/>
      <c r="APF14" s="225"/>
      <c r="APG14" s="225"/>
      <c r="APH14" s="129"/>
      <c r="API14" s="129"/>
      <c r="APJ14" s="224" t="s">
        <v>37</v>
      </c>
      <c r="APK14" s="224"/>
      <c r="APL14" s="224"/>
      <c r="APM14" s="224"/>
      <c r="APN14" s="104"/>
      <c r="APO14" s="104"/>
      <c r="APP14" s="225" t="s">
        <v>27</v>
      </c>
      <c r="APQ14" s="225"/>
      <c r="APR14" s="225"/>
      <c r="APS14" s="225"/>
      <c r="APT14" s="129"/>
      <c r="APU14" s="129"/>
      <c r="APV14" s="224" t="s">
        <v>38</v>
      </c>
      <c r="APW14" s="224"/>
      <c r="APX14" s="224"/>
      <c r="APY14" s="224"/>
      <c r="APZ14" s="104"/>
      <c r="AQA14" s="104"/>
      <c r="AQB14" s="225" t="s">
        <v>28</v>
      </c>
      <c r="AQC14" s="225"/>
      <c r="AQD14" s="225"/>
      <c r="AQE14" s="225"/>
      <c r="AQF14" s="129"/>
      <c r="AQG14" s="129"/>
      <c r="AQH14" s="224" t="s">
        <v>39</v>
      </c>
      <c r="AQI14" s="224"/>
      <c r="AQJ14" s="224"/>
      <c r="AQK14" s="224"/>
      <c r="AQL14" s="104"/>
      <c r="AQM14" s="104"/>
      <c r="AQN14" s="225" t="s">
        <v>29</v>
      </c>
      <c r="AQO14" s="225"/>
      <c r="AQP14" s="225"/>
      <c r="AQQ14" s="225"/>
      <c r="AQR14" s="129"/>
      <c r="AQS14" s="129"/>
      <c r="AQT14" s="224" t="s">
        <v>40</v>
      </c>
      <c r="AQU14" s="224"/>
      <c r="AQV14" s="224"/>
      <c r="AQW14" s="224"/>
      <c r="AQX14" s="104"/>
      <c r="AQY14" s="104"/>
      <c r="AQZ14" s="104"/>
      <c r="ARA14" s="105"/>
      <c r="ARB14" s="103"/>
      <c r="ARC14" s="104"/>
      <c r="ARD14" s="104"/>
      <c r="ARE14" s="104"/>
      <c r="ARF14" s="224" t="s">
        <v>36</v>
      </c>
      <c r="ARG14" s="224"/>
      <c r="ARH14" s="224"/>
      <c r="ARI14" s="224"/>
      <c r="ARJ14" s="104"/>
      <c r="ARK14" s="104"/>
      <c r="ARL14" s="225" t="s">
        <v>26</v>
      </c>
      <c r="ARM14" s="225"/>
      <c r="ARN14" s="225"/>
      <c r="ARO14" s="225"/>
      <c r="ARP14" s="129"/>
      <c r="ARQ14" s="129"/>
      <c r="ARR14" s="224" t="s">
        <v>37</v>
      </c>
      <c r="ARS14" s="224"/>
      <c r="ART14" s="224"/>
      <c r="ARU14" s="224"/>
      <c r="ARV14" s="104"/>
      <c r="ARW14" s="104"/>
      <c r="ARX14" s="225" t="s">
        <v>27</v>
      </c>
      <c r="ARY14" s="225"/>
      <c r="ARZ14" s="225"/>
      <c r="ASA14" s="225"/>
      <c r="ASB14" s="129"/>
      <c r="ASC14" s="129"/>
      <c r="ASD14" s="224" t="s">
        <v>38</v>
      </c>
      <c r="ASE14" s="224"/>
      <c r="ASF14" s="224"/>
      <c r="ASG14" s="224"/>
      <c r="ASH14" s="104"/>
      <c r="ASI14" s="104"/>
      <c r="ASJ14" s="225" t="s">
        <v>28</v>
      </c>
      <c r="ASK14" s="225"/>
      <c r="ASL14" s="225"/>
      <c r="ASM14" s="225"/>
      <c r="ASN14" s="129"/>
      <c r="ASO14" s="129"/>
      <c r="ASP14" s="224" t="s">
        <v>39</v>
      </c>
      <c r="ASQ14" s="224"/>
      <c r="ASR14" s="224"/>
      <c r="ASS14" s="224"/>
      <c r="AST14" s="104"/>
      <c r="ASU14" s="104"/>
      <c r="ASV14" s="225" t="s">
        <v>29</v>
      </c>
      <c r="ASW14" s="225"/>
      <c r="ASX14" s="225"/>
      <c r="ASY14" s="225"/>
      <c r="ASZ14" s="129"/>
      <c r="ATA14" s="129"/>
      <c r="ATB14" s="224" t="s">
        <v>40</v>
      </c>
      <c r="ATC14" s="224"/>
      <c r="ATD14" s="224"/>
      <c r="ATE14" s="224"/>
      <c r="ATF14" s="104"/>
      <c r="ATG14" s="104"/>
      <c r="ATH14" s="104"/>
      <c r="ATI14" s="105"/>
      <c r="ATJ14" s="103"/>
      <c r="ATK14" s="104"/>
      <c r="ATL14" s="104"/>
      <c r="ATM14" s="104"/>
      <c r="ATN14" s="224" t="s">
        <v>36</v>
      </c>
      <c r="ATO14" s="224"/>
      <c r="ATP14" s="224"/>
      <c r="ATQ14" s="224"/>
      <c r="ATR14" s="104"/>
      <c r="ATS14" s="104"/>
      <c r="ATT14" s="225" t="s">
        <v>26</v>
      </c>
      <c r="ATU14" s="225"/>
      <c r="ATV14" s="225"/>
      <c r="ATW14" s="225"/>
      <c r="ATX14" s="129"/>
      <c r="ATY14" s="129"/>
      <c r="ATZ14" s="224" t="s">
        <v>37</v>
      </c>
      <c r="AUA14" s="224"/>
      <c r="AUB14" s="224"/>
      <c r="AUC14" s="224"/>
      <c r="AUD14" s="104"/>
      <c r="AUE14" s="104"/>
      <c r="AUF14" s="225" t="s">
        <v>27</v>
      </c>
      <c r="AUG14" s="225"/>
      <c r="AUH14" s="225"/>
      <c r="AUI14" s="225"/>
      <c r="AUJ14" s="129"/>
      <c r="AUK14" s="129"/>
      <c r="AUL14" s="224" t="s">
        <v>38</v>
      </c>
      <c r="AUM14" s="224"/>
      <c r="AUN14" s="224"/>
      <c r="AUO14" s="224"/>
      <c r="AUP14" s="104"/>
      <c r="AUQ14" s="104"/>
      <c r="AUR14" s="225" t="s">
        <v>28</v>
      </c>
      <c r="AUS14" s="225"/>
      <c r="AUT14" s="225"/>
      <c r="AUU14" s="225"/>
      <c r="AUV14" s="129"/>
      <c r="AUW14" s="129"/>
      <c r="AUX14" s="224" t="s">
        <v>39</v>
      </c>
      <c r="AUY14" s="224"/>
      <c r="AUZ14" s="224"/>
      <c r="AVA14" s="224"/>
      <c r="AVB14" s="104"/>
      <c r="AVC14" s="104"/>
      <c r="AVD14" s="225" t="s">
        <v>29</v>
      </c>
      <c r="AVE14" s="225"/>
      <c r="AVF14" s="225"/>
      <c r="AVG14" s="225"/>
      <c r="AVH14" s="129"/>
      <c r="AVI14" s="129"/>
      <c r="AVJ14" s="224" t="s">
        <v>40</v>
      </c>
      <c r="AVK14" s="224"/>
      <c r="AVL14" s="224"/>
      <c r="AVM14" s="224"/>
      <c r="AVN14" s="104"/>
      <c r="AVO14" s="104"/>
      <c r="AVP14" s="104"/>
      <c r="AVQ14" s="105"/>
      <c r="AVR14" s="103"/>
      <c r="AVS14" s="104"/>
      <c r="AVT14" s="104"/>
      <c r="AVU14" s="104"/>
      <c r="AVV14" s="224" t="s">
        <v>36</v>
      </c>
      <c r="AVW14" s="224"/>
      <c r="AVX14" s="224"/>
      <c r="AVY14" s="224"/>
      <c r="AVZ14" s="104"/>
      <c r="AWA14" s="104"/>
      <c r="AWB14" s="225" t="s">
        <v>26</v>
      </c>
      <c r="AWC14" s="225"/>
      <c r="AWD14" s="225"/>
      <c r="AWE14" s="225"/>
      <c r="AWF14" s="129"/>
      <c r="AWG14" s="129"/>
      <c r="AWH14" s="224" t="s">
        <v>37</v>
      </c>
      <c r="AWI14" s="224"/>
      <c r="AWJ14" s="224"/>
      <c r="AWK14" s="224"/>
      <c r="AWL14" s="104"/>
      <c r="AWM14" s="104"/>
      <c r="AWN14" s="225" t="s">
        <v>27</v>
      </c>
      <c r="AWO14" s="225"/>
      <c r="AWP14" s="225"/>
      <c r="AWQ14" s="225"/>
      <c r="AWR14" s="129"/>
      <c r="AWS14" s="129"/>
      <c r="AWT14" s="224" t="s">
        <v>38</v>
      </c>
      <c r="AWU14" s="224"/>
      <c r="AWV14" s="224"/>
      <c r="AWW14" s="224"/>
      <c r="AWX14" s="104"/>
      <c r="AWY14" s="104"/>
      <c r="AWZ14" s="225" t="s">
        <v>28</v>
      </c>
      <c r="AXA14" s="225"/>
      <c r="AXB14" s="225"/>
      <c r="AXC14" s="225"/>
      <c r="AXD14" s="129"/>
      <c r="AXE14" s="129"/>
      <c r="AXF14" s="224" t="s">
        <v>39</v>
      </c>
      <c r="AXG14" s="224"/>
      <c r="AXH14" s="224"/>
      <c r="AXI14" s="224"/>
      <c r="AXJ14" s="104"/>
      <c r="AXK14" s="104"/>
      <c r="AXL14" s="225" t="s">
        <v>29</v>
      </c>
      <c r="AXM14" s="225"/>
      <c r="AXN14" s="225"/>
      <c r="AXO14" s="225"/>
      <c r="AXP14" s="129"/>
      <c r="AXQ14" s="129"/>
      <c r="AXR14" s="224" t="s">
        <v>40</v>
      </c>
      <c r="AXS14" s="224"/>
      <c r="AXT14" s="224"/>
      <c r="AXU14" s="224"/>
      <c r="AXV14" s="104"/>
      <c r="AXW14" s="104"/>
      <c r="AXX14" s="104"/>
      <c r="AXY14" s="105"/>
      <c r="AXZ14" s="103"/>
      <c r="AYA14" s="104"/>
      <c r="AYB14" s="104"/>
      <c r="AYC14" s="104"/>
      <c r="AYD14" s="224" t="s">
        <v>36</v>
      </c>
      <c r="AYE14" s="224"/>
      <c r="AYF14" s="224"/>
      <c r="AYG14" s="224"/>
      <c r="AYH14" s="104"/>
      <c r="AYI14" s="104"/>
      <c r="AYJ14" s="225" t="s">
        <v>26</v>
      </c>
      <c r="AYK14" s="225"/>
      <c r="AYL14" s="225"/>
      <c r="AYM14" s="225"/>
      <c r="AYN14" s="129"/>
      <c r="AYO14" s="129"/>
      <c r="AYP14" s="224" t="s">
        <v>37</v>
      </c>
      <c r="AYQ14" s="224"/>
      <c r="AYR14" s="224"/>
      <c r="AYS14" s="224"/>
      <c r="AYT14" s="104"/>
      <c r="AYU14" s="104"/>
      <c r="AYV14" s="225" t="s">
        <v>27</v>
      </c>
      <c r="AYW14" s="225"/>
      <c r="AYX14" s="225"/>
      <c r="AYY14" s="225"/>
      <c r="AYZ14" s="129"/>
      <c r="AZA14" s="129"/>
      <c r="AZB14" s="224" t="s">
        <v>38</v>
      </c>
      <c r="AZC14" s="224"/>
      <c r="AZD14" s="224"/>
      <c r="AZE14" s="224"/>
      <c r="AZF14" s="104"/>
      <c r="AZG14" s="104"/>
      <c r="AZH14" s="225" t="s">
        <v>28</v>
      </c>
      <c r="AZI14" s="225"/>
      <c r="AZJ14" s="225"/>
      <c r="AZK14" s="225"/>
      <c r="AZL14" s="129"/>
      <c r="AZM14" s="129"/>
      <c r="AZN14" s="224" t="s">
        <v>39</v>
      </c>
      <c r="AZO14" s="224"/>
      <c r="AZP14" s="224"/>
      <c r="AZQ14" s="224"/>
      <c r="AZR14" s="104"/>
      <c r="AZS14" s="104"/>
      <c r="AZT14" s="225" t="s">
        <v>29</v>
      </c>
      <c r="AZU14" s="225"/>
      <c r="AZV14" s="225"/>
      <c r="AZW14" s="225"/>
      <c r="AZX14" s="129"/>
      <c r="AZY14" s="129"/>
      <c r="AZZ14" s="224" t="s">
        <v>40</v>
      </c>
      <c r="BAA14" s="224"/>
      <c r="BAB14" s="224"/>
      <c r="BAC14" s="224"/>
      <c r="BAD14" s="104"/>
      <c r="BAE14" s="104"/>
      <c r="BAF14" s="104"/>
      <c r="BAG14" s="105"/>
      <c r="BAH14" s="103"/>
      <c r="BAI14" s="104"/>
      <c r="BAJ14" s="104"/>
      <c r="BAK14" s="104"/>
      <c r="BAL14" s="224" t="s">
        <v>36</v>
      </c>
      <c r="BAM14" s="224"/>
      <c r="BAN14" s="224"/>
      <c r="BAO14" s="224"/>
      <c r="BAP14" s="104"/>
      <c r="BAQ14" s="104"/>
      <c r="BAR14" s="225" t="s">
        <v>26</v>
      </c>
      <c r="BAS14" s="225"/>
      <c r="BAT14" s="225"/>
      <c r="BAU14" s="225"/>
      <c r="BAV14" s="129"/>
      <c r="BAW14" s="129"/>
      <c r="BAX14" s="224" t="s">
        <v>37</v>
      </c>
      <c r="BAY14" s="224"/>
      <c r="BAZ14" s="224"/>
      <c r="BBA14" s="224"/>
      <c r="BBB14" s="104"/>
      <c r="BBC14" s="104"/>
      <c r="BBD14" s="225" t="s">
        <v>27</v>
      </c>
      <c r="BBE14" s="225"/>
      <c r="BBF14" s="225"/>
      <c r="BBG14" s="225"/>
      <c r="BBH14" s="129"/>
      <c r="BBI14" s="129"/>
      <c r="BBJ14" s="224" t="s">
        <v>38</v>
      </c>
      <c r="BBK14" s="224"/>
      <c r="BBL14" s="224"/>
      <c r="BBM14" s="224"/>
      <c r="BBN14" s="104"/>
      <c r="BBO14" s="104"/>
      <c r="BBP14" s="225" t="s">
        <v>28</v>
      </c>
      <c r="BBQ14" s="225"/>
      <c r="BBR14" s="225"/>
      <c r="BBS14" s="225"/>
      <c r="BBT14" s="129"/>
      <c r="BBU14" s="129"/>
      <c r="BBV14" s="224" t="s">
        <v>39</v>
      </c>
      <c r="BBW14" s="224"/>
      <c r="BBX14" s="224"/>
      <c r="BBY14" s="224"/>
      <c r="BBZ14" s="104"/>
      <c r="BCA14" s="104"/>
      <c r="BCB14" s="225" t="s">
        <v>29</v>
      </c>
      <c r="BCC14" s="225"/>
      <c r="BCD14" s="225"/>
      <c r="BCE14" s="225"/>
      <c r="BCF14" s="129"/>
      <c r="BCG14" s="129"/>
      <c r="BCH14" s="224" t="s">
        <v>40</v>
      </c>
      <c r="BCI14" s="224"/>
      <c r="BCJ14" s="224"/>
      <c r="BCK14" s="224"/>
      <c r="BCL14" s="104"/>
      <c r="BCM14" s="104"/>
      <c r="BCN14" s="104"/>
      <c r="BCO14" s="105"/>
      <c r="BCP14" s="103"/>
      <c r="BCQ14" s="104"/>
      <c r="BCR14" s="104"/>
      <c r="BCS14" s="104"/>
      <c r="BCT14" s="224" t="s">
        <v>36</v>
      </c>
      <c r="BCU14" s="224"/>
      <c r="BCV14" s="224"/>
      <c r="BCW14" s="224"/>
      <c r="BCX14" s="104"/>
      <c r="BCY14" s="104"/>
      <c r="BCZ14" s="225" t="s">
        <v>26</v>
      </c>
      <c r="BDA14" s="225"/>
      <c r="BDB14" s="225"/>
      <c r="BDC14" s="225"/>
      <c r="BDD14" s="129"/>
      <c r="BDE14" s="129"/>
      <c r="BDF14" s="224" t="s">
        <v>37</v>
      </c>
      <c r="BDG14" s="224"/>
      <c r="BDH14" s="224"/>
      <c r="BDI14" s="224"/>
      <c r="BDJ14" s="104"/>
      <c r="BDK14" s="104"/>
      <c r="BDL14" s="225" t="s">
        <v>27</v>
      </c>
      <c r="BDM14" s="225"/>
      <c r="BDN14" s="225"/>
      <c r="BDO14" s="225"/>
      <c r="BDP14" s="129"/>
      <c r="BDQ14" s="129"/>
      <c r="BDR14" s="224" t="s">
        <v>38</v>
      </c>
      <c r="BDS14" s="224"/>
      <c r="BDT14" s="224"/>
      <c r="BDU14" s="224"/>
      <c r="BDV14" s="104"/>
      <c r="BDW14" s="104"/>
      <c r="BDX14" s="225" t="s">
        <v>28</v>
      </c>
      <c r="BDY14" s="225"/>
      <c r="BDZ14" s="225"/>
      <c r="BEA14" s="225"/>
      <c r="BEB14" s="129"/>
      <c r="BEC14" s="129"/>
      <c r="BED14" s="224" t="s">
        <v>39</v>
      </c>
      <c r="BEE14" s="224"/>
      <c r="BEF14" s="224"/>
      <c r="BEG14" s="224"/>
      <c r="BEH14" s="104"/>
      <c r="BEI14" s="104"/>
      <c r="BEJ14" s="225" t="s">
        <v>29</v>
      </c>
      <c r="BEK14" s="225"/>
      <c r="BEL14" s="225"/>
      <c r="BEM14" s="225"/>
      <c r="BEN14" s="129"/>
      <c r="BEO14" s="129"/>
      <c r="BEP14" s="224" t="s">
        <v>40</v>
      </c>
      <c r="BEQ14" s="224"/>
      <c r="BER14" s="224"/>
      <c r="BES14" s="224"/>
      <c r="BET14" s="104"/>
      <c r="BEU14" s="104"/>
      <c r="BEV14" s="104"/>
      <c r="BEW14" s="105"/>
      <c r="BEX14" s="103"/>
      <c r="BEY14" s="104"/>
      <c r="BEZ14" s="104"/>
      <c r="BFA14" s="104"/>
      <c r="BFB14" s="224" t="s">
        <v>36</v>
      </c>
      <c r="BFC14" s="224"/>
      <c r="BFD14" s="224"/>
      <c r="BFE14" s="224"/>
      <c r="BFF14" s="104"/>
      <c r="BFG14" s="104"/>
      <c r="BFH14" s="225" t="s">
        <v>26</v>
      </c>
      <c r="BFI14" s="225"/>
      <c r="BFJ14" s="225"/>
      <c r="BFK14" s="225"/>
      <c r="BFL14" s="129"/>
      <c r="BFM14" s="129"/>
      <c r="BFN14" s="224" t="s">
        <v>37</v>
      </c>
      <c r="BFO14" s="224"/>
      <c r="BFP14" s="224"/>
      <c r="BFQ14" s="224"/>
      <c r="BFR14" s="104"/>
      <c r="BFS14" s="104"/>
      <c r="BFT14" s="225" t="s">
        <v>27</v>
      </c>
      <c r="BFU14" s="225"/>
      <c r="BFV14" s="225"/>
      <c r="BFW14" s="225"/>
      <c r="BFX14" s="129"/>
      <c r="BFY14" s="129"/>
      <c r="BFZ14" s="224" t="s">
        <v>38</v>
      </c>
      <c r="BGA14" s="224"/>
      <c r="BGB14" s="224"/>
      <c r="BGC14" s="224"/>
      <c r="BGD14" s="104"/>
      <c r="BGE14" s="104"/>
      <c r="BGF14" s="225" t="s">
        <v>28</v>
      </c>
      <c r="BGG14" s="225"/>
      <c r="BGH14" s="225"/>
      <c r="BGI14" s="225"/>
      <c r="BGJ14" s="129"/>
      <c r="BGK14" s="129"/>
      <c r="BGL14" s="224" t="s">
        <v>39</v>
      </c>
      <c r="BGM14" s="224"/>
      <c r="BGN14" s="224"/>
      <c r="BGO14" s="224"/>
      <c r="BGP14" s="104"/>
      <c r="BGQ14" s="104"/>
      <c r="BGR14" s="225" t="s">
        <v>29</v>
      </c>
      <c r="BGS14" s="225"/>
      <c r="BGT14" s="225"/>
      <c r="BGU14" s="225"/>
      <c r="BGV14" s="129"/>
      <c r="BGW14" s="129"/>
      <c r="BGX14" s="224" t="s">
        <v>40</v>
      </c>
      <c r="BGY14" s="224"/>
      <c r="BGZ14" s="224"/>
      <c r="BHA14" s="224"/>
      <c r="BHB14" s="104"/>
      <c r="BHC14" s="104"/>
      <c r="BHD14" s="104"/>
      <c r="BHE14" s="105"/>
      <c r="BHF14" s="90"/>
    </row>
    <row r="15" spans="1:1866" ht="20.100000000000001" customHeight="1" x14ac:dyDescent="0.25">
      <c r="A15" s="100" t="s">
        <v>22</v>
      </c>
      <c r="B15" s="63" t="str">
        <f>IF(LEN(C15)=0,"",C15)</f>
        <v xml:space="preserve">Absences - imprévus </v>
      </c>
      <c r="C15" s="23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35"/>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34"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35"/>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34"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35"/>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34"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36"/>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34"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36"/>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34"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35"/>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34"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36"/>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34"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36"/>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34"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36"/>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34"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3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34"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3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34"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3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34"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3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34"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36"/>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34"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36"/>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34"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36"/>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3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3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3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3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3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3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3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3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3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3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3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3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3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3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3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3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3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3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3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3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3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3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3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3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3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3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3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3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3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3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3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3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3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3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3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3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3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3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3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3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3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3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3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3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3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3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3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3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6" t="s">
        <v>9</v>
      </c>
      <c r="D95" s="227"/>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8"/>
      <c r="D96" s="229"/>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0" t="s">
        <v>10</v>
      </c>
      <c r="D97" s="231"/>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2"/>
      <c r="D98" s="233"/>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50" t="s">
        <v>18</v>
      </c>
      <c r="F3" s="251"/>
      <c r="G3" s="46"/>
    </row>
    <row r="4" spans="1:7" s="52" customFormat="1" x14ac:dyDescent="0.3">
      <c r="A4" s="48" t="s">
        <v>102</v>
      </c>
      <c r="B4" s="49">
        <v>12</v>
      </c>
      <c r="C4" s="152" t="str">
        <f xml:space="preserve"> IF(B4="","",setValueToTime(B4))</f>
        <v>1h</v>
      </c>
      <c r="D4" s="172" t="s">
        <v>104</v>
      </c>
      <c r="E4" s="252"/>
      <c r="F4" s="253"/>
      <c r="G4" s="51"/>
    </row>
    <row r="5" spans="1:7" s="52" customFormat="1" x14ac:dyDescent="0.3">
      <c r="A5" s="53" t="s">
        <v>92</v>
      </c>
      <c r="B5" s="54">
        <v>18</v>
      </c>
      <c r="C5" s="153" t="str">
        <f t="shared" ref="C5:C7" si="0" xml:space="preserve"> IF(B5="","",setValueToTime(B5))</f>
        <v>1h30min</v>
      </c>
      <c r="D5" s="175" t="s">
        <v>105</v>
      </c>
      <c r="E5" s="254"/>
      <c r="F5" s="255"/>
      <c r="G5" s="51"/>
    </row>
    <row r="6" spans="1:7" s="52" customFormat="1" x14ac:dyDescent="0.3">
      <c r="A6" s="53" t="s">
        <v>103</v>
      </c>
      <c r="B6" s="54">
        <v>6</v>
      </c>
      <c r="C6" s="153" t="str">
        <f t="shared" si="0"/>
        <v>0h30min</v>
      </c>
      <c r="D6" s="175" t="s">
        <v>106</v>
      </c>
      <c r="E6" s="254"/>
      <c r="F6" s="255"/>
      <c r="G6" s="51"/>
    </row>
    <row r="7" spans="1:7" s="52" customFormat="1" x14ac:dyDescent="0.3">
      <c r="A7" s="174" t="s">
        <v>94</v>
      </c>
      <c r="B7" s="54">
        <v>6</v>
      </c>
      <c r="C7" s="153" t="str">
        <f t="shared" si="0"/>
        <v>0h30min</v>
      </c>
      <c r="D7" s="175" t="s">
        <v>168</v>
      </c>
      <c r="E7" s="254"/>
      <c r="F7" s="255"/>
      <c r="G7" s="51"/>
    </row>
    <row r="8" spans="1:7" s="52" customFormat="1" x14ac:dyDescent="0.3">
      <c r="A8" s="53" t="s">
        <v>91</v>
      </c>
      <c r="B8" s="54">
        <v>6</v>
      </c>
      <c r="C8" s="153" t="str">
        <f t="shared" ref="C8" si="1" xml:space="preserve"> IF(B8="","",setValueToTime(B8))</f>
        <v>0h30min</v>
      </c>
      <c r="D8" s="175" t="s">
        <v>107</v>
      </c>
      <c r="E8" s="254"/>
      <c r="F8" s="255"/>
      <c r="G8" s="51"/>
    </row>
    <row r="9" spans="1:7" s="52" customFormat="1" x14ac:dyDescent="0.3">
      <c r="A9" s="54"/>
      <c r="B9" s="54"/>
      <c r="C9" s="154" t="str">
        <f t="shared" ref="C9:C11" si="2" xml:space="preserve"> IF(B9="","",setValueToTime(B9))</f>
        <v/>
      </c>
      <c r="D9" s="55"/>
      <c r="E9" s="254"/>
      <c r="F9" s="255"/>
      <c r="G9" s="51"/>
    </row>
    <row r="10" spans="1:7" s="52" customFormat="1" x14ac:dyDescent="0.3">
      <c r="A10" s="54"/>
      <c r="B10" s="54"/>
      <c r="C10" s="154" t="str">
        <f t="shared" si="2"/>
        <v/>
      </c>
      <c r="D10" s="55"/>
      <c r="E10" s="254"/>
      <c r="F10" s="255"/>
      <c r="G10" s="51"/>
    </row>
    <row r="11" spans="1:7" s="52" customFormat="1" ht="15" thickBot="1" x14ac:dyDescent="0.35">
      <c r="A11" s="56"/>
      <c r="B11" s="56"/>
      <c r="C11" s="155" t="str">
        <f t="shared" si="2"/>
        <v/>
      </c>
      <c r="D11" s="57"/>
      <c r="E11" s="256"/>
      <c r="F11" s="257"/>
      <c r="G11" s="51"/>
    </row>
    <row r="12" spans="1:7" s="52" customFormat="1" ht="15" thickBot="1" x14ac:dyDescent="0.35">
      <c r="A12" s="111" t="s">
        <v>31</v>
      </c>
      <c r="B12" s="84">
        <f>SUM(B4:B11)</f>
        <v>48</v>
      </c>
      <c r="C12" s="111" t="str">
        <f xml:space="preserve"> setValueToTime(B12)</f>
        <v>4h</v>
      </c>
      <c r="D12" s="120"/>
      <c r="E12" s="258"/>
      <c r="F12" s="259"/>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50" t="s">
        <v>18</v>
      </c>
      <c r="F15" s="251"/>
      <c r="G15" s="46"/>
    </row>
    <row r="16" spans="1:7" s="52" customFormat="1" ht="27" x14ac:dyDescent="0.3">
      <c r="A16" s="54" t="s">
        <v>102</v>
      </c>
      <c r="B16" s="54">
        <v>10</v>
      </c>
      <c r="C16" s="154" t="str">
        <f t="shared" ref="C16:C17" si="3" xml:space="preserve"> IF(B16="","",setValueToTime(B16))</f>
        <v>0h50min</v>
      </c>
      <c r="D16" s="175" t="s">
        <v>165</v>
      </c>
      <c r="E16" s="252"/>
      <c r="F16" s="253"/>
      <c r="G16" s="51"/>
    </row>
    <row r="17" spans="1:7" s="52" customFormat="1" x14ac:dyDescent="0.3">
      <c r="A17" s="53" t="s">
        <v>92</v>
      </c>
      <c r="B17" s="54">
        <v>22</v>
      </c>
      <c r="C17" s="153" t="str">
        <f t="shared" si="3"/>
        <v>1h50min</v>
      </c>
      <c r="D17" s="175" t="s">
        <v>167</v>
      </c>
      <c r="E17" s="254"/>
      <c r="F17" s="255"/>
      <c r="G17" s="51"/>
    </row>
    <row r="18" spans="1:7" s="52" customFormat="1" x14ac:dyDescent="0.3">
      <c r="A18" s="53" t="s">
        <v>95</v>
      </c>
      <c r="B18" s="54">
        <v>3</v>
      </c>
      <c r="C18" s="153" t="str">
        <f t="shared" ref="C18:C19" si="4" xml:space="preserve"> IF(B18="","",setValueToTime(B18))</f>
        <v>0h15min</v>
      </c>
      <c r="D18" s="175" t="s">
        <v>108</v>
      </c>
      <c r="E18" s="254"/>
      <c r="F18" s="255"/>
      <c r="G18" s="51"/>
    </row>
    <row r="19" spans="1:7" s="52" customFormat="1" x14ac:dyDescent="0.3">
      <c r="A19" s="53" t="s">
        <v>91</v>
      </c>
      <c r="B19" s="54">
        <v>3</v>
      </c>
      <c r="C19" s="153" t="str">
        <f t="shared" si="4"/>
        <v>0h15min</v>
      </c>
      <c r="D19" s="175" t="s">
        <v>109</v>
      </c>
      <c r="E19" s="254"/>
      <c r="F19" s="255"/>
      <c r="G19" s="51"/>
    </row>
    <row r="20" spans="1:7" s="52" customFormat="1" x14ac:dyDescent="0.3">
      <c r="A20" s="54"/>
      <c r="B20" s="54"/>
      <c r="C20" s="154" t="str">
        <f t="shared" ref="C20:C23" si="5" xml:space="preserve"> IF(B20="","",setValueToTime(B20))</f>
        <v/>
      </c>
      <c r="D20" s="55"/>
      <c r="E20" s="254"/>
      <c r="F20" s="255"/>
      <c r="G20" s="51"/>
    </row>
    <row r="21" spans="1:7" s="52" customFormat="1" x14ac:dyDescent="0.3">
      <c r="A21" s="54"/>
      <c r="B21" s="54"/>
      <c r="C21" s="154" t="str">
        <f t="shared" si="5"/>
        <v/>
      </c>
      <c r="D21" s="55"/>
      <c r="E21" s="254"/>
      <c r="F21" s="255"/>
      <c r="G21" s="51"/>
    </row>
    <row r="22" spans="1:7" s="52" customFormat="1" x14ac:dyDescent="0.3">
      <c r="A22" s="54"/>
      <c r="B22" s="54"/>
      <c r="C22" s="154" t="str">
        <f t="shared" si="5"/>
        <v/>
      </c>
      <c r="D22" s="55"/>
      <c r="E22" s="254"/>
      <c r="F22" s="255"/>
      <c r="G22" s="51"/>
    </row>
    <row r="23" spans="1:7" s="52" customFormat="1" ht="15" thickBot="1" x14ac:dyDescent="0.35">
      <c r="A23" s="56"/>
      <c r="B23" s="56"/>
      <c r="C23" s="155" t="str">
        <f t="shared" si="5"/>
        <v/>
      </c>
      <c r="D23" s="57"/>
      <c r="E23" s="256"/>
      <c r="F23" s="257"/>
      <c r="G23" s="51"/>
    </row>
    <row r="24" spans="1:7" s="52" customFormat="1" ht="15" thickBot="1" x14ac:dyDescent="0.35">
      <c r="A24" s="111" t="s">
        <v>31</v>
      </c>
      <c r="B24" s="84">
        <f>SUM(B16:B23)</f>
        <v>38</v>
      </c>
      <c r="C24" s="111" t="str">
        <f xml:space="preserve"> setValueToTime(B24)</f>
        <v>3h10min</v>
      </c>
      <c r="D24" s="120"/>
      <c r="E24" s="258"/>
      <c r="F24" s="259"/>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50" t="s">
        <v>18</v>
      </c>
      <c r="F27" s="251"/>
      <c r="G27" s="46"/>
    </row>
    <row r="28" spans="1:7" s="52" customFormat="1" ht="27" x14ac:dyDescent="0.3">
      <c r="A28" s="54" t="s">
        <v>102</v>
      </c>
      <c r="B28" s="54">
        <v>40</v>
      </c>
      <c r="C28" s="154" t="str">
        <f t="shared" ref="C28:C29" si="6" xml:space="preserve"> IF(B28="","",setValueToTime(B28))</f>
        <v>3h20min</v>
      </c>
      <c r="D28" s="175" t="s">
        <v>165</v>
      </c>
      <c r="E28" s="252"/>
      <c r="F28" s="253"/>
      <c r="G28" s="51"/>
    </row>
    <row r="29" spans="1:7" s="52" customFormat="1" x14ac:dyDescent="0.3">
      <c r="A29" s="53" t="s">
        <v>95</v>
      </c>
      <c r="B29" s="54">
        <v>5</v>
      </c>
      <c r="C29" s="153" t="str">
        <f t="shared" si="6"/>
        <v>0h25min</v>
      </c>
      <c r="D29" s="175" t="s">
        <v>108</v>
      </c>
      <c r="E29" s="254"/>
      <c r="F29" s="255"/>
      <c r="G29" s="51"/>
    </row>
    <row r="30" spans="1:7" s="52" customFormat="1" x14ac:dyDescent="0.3">
      <c r="A30" s="53" t="s">
        <v>91</v>
      </c>
      <c r="B30" s="54">
        <v>3</v>
      </c>
      <c r="C30" s="153" t="str">
        <f t="shared" ref="C30" si="7" xml:space="preserve"> IF(B30="","",setValueToTime(B30))</f>
        <v>0h15min</v>
      </c>
      <c r="D30" s="175" t="s">
        <v>109</v>
      </c>
      <c r="E30" s="254"/>
      <c r="F30" s="255"/>
      <c r="G30" s="51"/>
    </row>
    <row r="31" spans="1:7" s="52" customFormat="1" x14ac:dyDescent="0.3">
      <c r="A31" s="53"/>
      <c r="B31" s="54"/>
      <c r="C31" s="153"/>
      <c r="D31" s="55"/>
      <c r="E31" s="254"/>
      <c r="F31" s="255"/>
      <c r="G31" s="51"/>
    </row>
    <row r="32" spans="1:7" s="52" customFormat="1" x14ac:dyDescent="0.3">
      <c r="A32" s="54"/>
      <c r="B32" s="54"/>
      <c r="C32" s="154" t="str">
        <f t="shared" ref="C32:C35" si="8" xml:space="preserve"> IF(B32="","",setValueToTime(B32))</f>
        <v/>
      </c>
      <c r="D32" s="55"/>
      <c r="E32" s="254"/>
      <c r="F32" s="255"/>
      <c r="G32" s="51"/>
    </row>
    <row r="33" spans="1:7" s="52" customFormat="1" x14ac:dyDescent="0.3">
      <c r="A33" s="54"/>
      <c r="B33" s="54"/>
      <c r="C33" s="154" t="str">
        <f t="shared" si="8"/>
        <v/>
      </c>
      <c r="D33" s="55"/>
      <c r="E33" s="254"/>
      <c r="F33" s="255"/>
      <c r="G33" s="51"/>
    </row>
    <row r="34" spans="1:7" s="52" customFormat="1" x14ac:dyDescent="0.3">
      <c r="A34" s="54"/>
      <c r="B34" s="54"/>
      <c r="C34" s="154" t="str">
        <f t="shared" si="8"/>
        <v/>
      </c>
      <c r="D34" s="55"/>
      <c r="E34" s="254"/>
      <c r="F34" s="255"/>
      <c r="G34" s="51"/>
    </row>
    <row r="35" spans="1:7" s="52" customFormat="1" ht="15" thickBot="1" x14ac:dyDescent="0.35">
      <c r="A35" s="56"/>
      <c r="B35" s="56"/>
      <c r="C35" s="155" t="str">
        <f t="shared" si="8"/>
        <v/>
      </c>
      <c r="D35" s="57"/>
      <c r="E35" s="256"/>
      <c r="F35" s="257"/>
      <c r="G35" s="51"/>
    </row>
    <row r="36" spans="1:7" s="52" customFormat="1" ht="15" thickBot="1" x14ac:dyDescent="0.35">
      <c r="A36" s="111" t="s">
        <v>31</v>
      </c>
      <c r="B36" s="84">
        <f>SUM(B28:B35)</f>
        <v>48</v>
      </c>
      <c r="C36" s="111" t="str">
        <f xml:space="preserve"> setValueToTime(B36)</f>
        <v>4h</v>
      </c>
      <c r="D36" s="120"/>
      <c r="E36" s="258"/>
      <c r="F36" s="259"/>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50" t="s">
        <v>18</v>
      </c>
      <c r="F39" s="251"/>
      <c r="G39" s="46"/>
    </row>
    <row r="40" spans="1:7" s="52" customFormat="1" ht="40.5" x14ac:dyDescent="0.3">
      <c r="A40" s="48" t="s">
        <v>100</v>
      </c>
      <c r="B40" s="49">
        <v>10</v>
      </c>
      <c r="C40" s="152" t="str">
        <f xml:space="preserve"> IF(B40="","",setValueToTime(B40))</f>
        <v>0h50min</v>
      </c>
      <c r="D40" s="172" t="s">
        <v>164</v>
      </c>
      <c r="E40" s="252"/>
      <c r="F40" s="253"/>
      <c r="G40" s="51"/>
    </row>
    <row r="41" spans="1:7" s="52" customFormat="1" ht="27" x14ac:dyDescent="0.3">
      <c r="A41" s="53" t="s">
        <v>92</v>
      </c>
      <c r="B41" s="54">
        <v>20</v>
      </c>
      <c r="C41" s="153" t="str">
        <f t="shared" ref="C41:C44" si="9" xml:space="preserve"> IF(B41="","",setValueToTime(B41))</f>
        <v>1h40min</v>
      </c>
      <c r="D41" s="175" t="s">
        <v>166</v>
      </c>
      <c r="E41" s="254"/>
      <c r="F41" s="255"/>
      <c r="G41" s="51"/>
    </row>
    <row r="42" spans="1:7" s="52" customFormat="1" x14ac:dyDescent="0.3">
      <c r="A42" s="53" t="s">
        <v>95</v>
      </c>
      <c r="B42" s="54">
        <v>3</v>
      </c>
      <c r="C42" s="153" t="str">
        <f t="shared" si="9"/>
        <v>0h15min</v>
      </c>
      <c r="D42" s="175" t="s">
        <v>108</v>
      </c>
      <c r="E42" s="254"/>
      <c r="F42" s="255"/>
      <c r="G42" s="51"/>
    </row>
    <row r="43" spans="1:7" s="52" customFormat="1" x14ac:dyDescent="0.3">
      <c r="A43" s="53" t="s">
        <v>101</v>
      </c>
      <c r="B43" s="54">
        <v>2</v>
      </c>
      <c r="C43" s="153" t="str">
        <f t="shared" si="9"/>
        <v>0h10min</v>
      </c>
      <c r="D43" s="175" t="s">
        <v>111</v>
      </c>
      <c r="E43" s="254"/>
      <c r="F43" s="255"/>
      <c r="G43" s="51"/>
    </row>
    <row r="44" spans="1:7" s="52" customFormat="1" x14ac:dyDescent="0.3">
      <c r="A44" s="53" t="s">
        <v>91</v>
      </c>
      <c r="B44" s="54">
        <v>3</v>
      </c>
      <c r="C44" s="153" t="str">
        <f t="shared" si="9"/>
        <v>0h15min</v>
      </c>
      <c r="D44" s="175" t="s">
        <v>109</v>
      </c>
      <c r="E44" s="254"/>
      <c r="F44" s="255"/>
      <c r="G44" s="51"/>
    </row>
    <row r="45" spans="1:7" s="52" customFormat="1" x14ac:dyDescent="0.3">
      <c r="A45" s="54"/>
      <c r="B45" s="54"/>
      <c r="C45" s="154" t="str">
        <f t="shared" ref="C45:C47" si="10" xml:space="preserve"> IF(B45="","",setValueToTime(B45))</f>
        <v/>
      </c>
      <c r="D45" s="55"/>
      <c r="E45" s="254"/>
      <c r="F45" s="255"/>
      <c r="G45" s="51"/>
    </row>
    <row r="46" spans="1:7" s="52" customFormat="1" x14ac:dyDescent="0.3">
      <c r="A46" s="54"/>
      <c r="B46" s="54"/>
      <c r="C46" s="154" t="str">
        <f t="shared" si="10"/>
        <v/>
      </c>
      <c r="D46" s="55"/>
      <c r="E46" s="254"/>
      <c r="F46" s="255"/>
      <c r="G46" s="51"/>
    </row>
    <row r="47" spans="1:7" s="52" customFormat="1" ht="15" thickBot="1" x14ac:dyDescent="0.35">
      <c r="A47" s="56"/>
      <c r="B47" s="56"/>
      <c r="C47" s="155" t="str">
        <f t="shared" si="10"/>
        <v/>
      </c>
      <c r="D47" s="57"/>
      <c r="E47" s="256"/>
      <c r="F47" s="257"/>
      <c r="G47" s="51"/>
    </row>
    <row r="48" spans="1:7" s="52" customFormat="1" ht="15" thickBot="1" x14ac:dyDescent="0.35">
      <c r="A48" s="111" t="s">
        <v>31</v>
      </c>
      <c r="B48" s="84">
        <f>SUM(B40:B47)</f>
        <v>38</v>
      </c>
      <c r="C48" s="111" t="str">
        <f xml:space="preserve"> setValueToTime(B48)</f>
        <v>3h10min</v>
      </c>
      <c r="D48" s="120"/>
      <c r="E48" s="258"/>
      <c r="F48" s="259"/>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50" t="s">
        <v>18</v>
      </c>
      <c r="F51" s="251"/>
      <c r="G51" s="46"/>
    </row>
    <row r="52" spans="1:7" s="52" customFormat="1" ht="40.5" x14ac:dyDescent="0.3">
      <c r="A52" s="48" t="s">
        <v>100</v>
      </c>
      <c r="B52" s="49">
        <v>33</v>
      </c>
      <c r="C52" s="152" t="str">
        <f xml:space="preserve"> IF(B52="","",setValueToTime(B52))</f>
        <v>2h45min</v>
      </c>
      <c r="D52" s="172" t="s">
        <v>164</v>
      </c>
      <c r="E52" s="252"/>
      <c r="F52" s="253"/>
      <c r="G52" s="51"/>
    </row>
    <row r="53" spans="1:7" s="52" customFormat="1" x14ac:dyDescent="0.3">
      <c r="A53" s="53" t="s">
        <v>95</v>
      </c>
      <c r="B53" s="54">
        <v>10</v>
      </c>
      <c r="C53" s="153" t="str">
        <f t="shared" ref="C53:C55" si="11" xml:space="preserve"> IF(B53="","",setValueToTime(B53))</f>
        <v>0h50min</v>
      </c>
      <c r="D53" s="175" t="s">
        <v>108</v>
      </c>
      <c r="E53" s="254"/>
      <c r="F53" s="255"/>
      <c r="G53" s="51"/>
    </row>
    <row r="54" spans="1:7" s="52" customFormat="1" x14ac:dyDescent="0.3">
      <c r="A54" s="53" t="s">
        <v>101</v>
      </c>
      <c r="B54" s="54">
        <v>2</v>
      </c>
      <c r="C54" s="153" t="str">
        <f t="shared" si="11"/>
        <v>0h10min</v>
      </c>
      <c r="D54" s="175" t="s">
        <v>111</v>
      </c>
      <c r="E54" s="254"/>
      <c r="F54" s="255"/>
      <c r="G54" s="51"/>
    </row>
    <row r="55" spans="1:7" s="52" customFormat="1" x14ac:dyDescent="0.3">
      <c r="A55" s="53" t="s">
        <v>91</v>
      </c>
      <c r="B55" s="54">
        <v>3</v>
      </c>
      <c r="C55" s="153" t="str">
        <f t="shared" si="11"/>
        <v>0h15min</v>
      </c>
      <c r="D55" s="175" t="s">
        <v>109</v>
      </c>
      <c r="E55" s="254"/>
      <c r="F55" s="255"/>
      <c r="G55" s="51"/>
    </row>
    <row r="56" spans="1:7" s="52" customFormat="1" x14ac:dyDescent="0.3">
      <c r="A56" s="54"/>
      <c r="B56" s="54"/>
      <c r="C56" s="154" t="str">
        <f t="shared" ref="C56:C59" si="12" xml:space="preserve"> IF(B56="","",setValueToTime(B56))</f>
        <v/>
      </c>
      <c r="D56" s="55"/>
      <c r="E56" s="254"/>
      <c r="F56" s="255"/>
      <c r="G56" s="51"/>
    </row>
    <row r="57" spans="1:7" s="52" customFormat="1" x14ac:dyDescent="0.3">
      <c r="A57" s="54"/>
      <c r="B57" s="54"/>
      <c r="C57" s="154" t="str">
        <f t="shared" si="12"/>
        <v/>
      </c>
      <c r="D57" s="55"/>
      <c r="E57" s="254"/>
      <c r="F57" s="255"/>
      <c r="G57" s="51"/>
    </row>
    <row r="58" spans="1:7" s="52" customFormat="1" x14ac:dyDescent="0.3">
      <c r="A58" s="54"/>
      <c r="B58" s="54"/>
      <c r="C58" s="154" t="str">
        <f t="shared" si="12"/>
        <v/>
      </c>
      <c r="D58" s="55"/>
      <c r="E58" s="254"/>
      <c r="F58" s="255"/>
      <c r="G58" s="51"/>
    </row>
    <row r="59" spans="1:7" s="52" customFormat="1" ht="15" thickBot="1" x14ac:dyDescent="0.35">
      <c r="A59" s="56"/>
      <c r="B59" s="56"/>
      <c r="C59" s="155" t="str">
        <f t="shared" si="12"/>
        <v/>
      </c>
      <c r="D59" s="57"/>
      <c r="E59" s="256"/>
      <c r="F59" s="257"/>
      <c r="G59" s="51"/>
    </row>
    <row r="60" spans="1:7" s="52" customFormat="1" ht="15" thickBot="1" x14ac:dyDescent="0.35">
      <c r="A60" s="111" t="s">
        <v>31</v>
      </c>
      <c r="B60" s="84">
        <f>SUM(B52:B59)</f>
        <v>48</v>
      </c>
      <c r="C60" s="111" t="str">
        <f xml:space="preserve"> setValueToTime(B60)</f>
        <v>4h</v>
      </c>
      <c r="D60" s="120"/>
      <c r="E60" s="258"/>
      <c r="F60" s="259"/>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50" t="s">
        <v>18</v>
      </c>
      <c r="F63" s="251"/>
      <c r="G63" s="46"/>
    </row>
    <row r="64" spans="1:7" s="52" customFormat="1" ht="40.5" x14ac:dyDescent="0.3">
      <c r="A64" s="48" t="s">
        <v>100</v>
      </c>
      <c r="B64" s="49">
        <v>25</v>
      </c>
      <c r="C64" s="152" t="str">
        <f xml:space="preserve"> IF(B64="","",setValueToTime(B64))</f>
        <v>2h5min</v>
      </c>
      <c r="D64" s="172" t="s">
        <v>164</v>
      </c>
      <c r="E64" s="252"/>
      <c r="F64" s="253"/>
      <c r="G64" s="51"/>
    </row>
    <row r="65" spans="1:7" s="52" customFormat="1" x14ac:dyDescent="0.3">
      <c r="A65" s="53" t="s">
        <v>95</v>
      </c>
      <c r="B65" s="54">
        <v>8</v>
      </c>
      <c r="C65" s="153" t="str">
        <f t="shared" ref="C65:C67" si="13" xml:space="preserve"> IF(B65="","",setValueToTime(B65))</f>
        <v>0h40min</v>
      </c>
      <c r="D65" s="175" t="s">
        <v>108</v>
      </c>
      <c r="E65" s="254"/>
      <c r="F65" s="255"/>
      <c r="G65" s="51"/>
    </row>
    <row r="66" spans="1:7" s="52" customFormat="1" x14ac:dyDescent="0.3">
      <c r="A66" s="53" t="s">
        <v>101</v>
      </c>
      <c r="B66" s="54">
        <v>2</v>
      </c>
      <c r="C66" s="153" t="str">
        <f t="shared" si="13"/>
        <v>0h10min</v>
      </c>
      <c r="D66" s="175" t="s">
        <v>111</v>
      </c>
      <c r="E66" s="254"/>
      <c r="F66" s="255"/>
      <c r="G66" s="51"/>
    </row>
    <row r="67" spans="1:7" s="52" customFormat="1" x14ac:dyDescent="0.3">
      <c r="A67" s="53" t="s">
        <v>91</v>
      </c>
      <c r="B67" s="54">
        <v>3</v>
      </c>
      <c r="C67" s="153" t="str">
        <f t="shared" si="13"/>
        <v>0h15min</v>
      </c>
      <c r="D67" s="175" t="s">
        <v>109</v>
      </c>
      <c r="E67" s="254"/>
      <c r="F67" s="255"/>
      <c r="G67" s="51"/>
    </row>
    <row r="68" spans="1:7" s="52" customFormat="1" x14ac:dyDescent="0.3">
      <c r="A68" s="54"/>
      <c r="B68" s="54"/>
      <c r="C68" s="154" t="str">
        <f t="shared" ref="C68:C71" si="14" xml:space="preserve"> IF(B68="","",setValueToTime(B68))</f>
        <v/>
      </c>
      <c r="D68" s="55"/>
      <c r="E68" s="254"/>
      <c r="F68" s="255"/>
      <c r="G68" s="51"/>
    </row>
    <row r="69" spans="1:7" s="52" customFormat="1" x14ac:dyDescent="0.3">
      <c r="A69" s="54"/>
      <c r="B69" s="54"/>
      <c r="C69" s="154" t="str">
        <f t="shared" si="14"/>
        <v/>
      </c>
      <c r="D69" s="55"/>
      <c r="E69" s="254"/>
      <c r="F69" s="255"/>
      <c r="G69" s="51"/>
    </row>
    <row r="70" spans="1:7" s="52" customFormat="1" x14ac:dyDescent="0.3">
      <c r="A70" s="54"/>
      <c r="B70" s="54"/>
      <c r="C70" s="154" t="str">
        <f t="shared" si="14"/>
        <v/>
      </c>
      <c r="D70" s="55"/>
      <c r="E70" s="254"/>
      <c r="F70" s="255"/>
      <c r="G70" s="51"/>
    </row>
    <row r="71" spans="1:7" s="52" customFormat="1" ht="15" thickBot="1" x14ac:dyDescent="0.35">
      <c r="A71" s="56"/>
      <c r="B71" s="56"/>
      <c r="C71" s="155" t="str">
        <f t="shared" si="14"/>
        <v/>
      </c>
      <c r="D71" s="57"/>
      <c r="E71" s="256"/>
      <c r="F71" s="257"/>
      <c r="G71" s="51"/>
    </row>
    <row r="72" spans="1:7" s="52" customFormat="1" ht="15" thickBot="1" x14ac:dyDescent="0.35">
      <c r="A72" s="111" t="s">
        <v>31</v>
      </c>
      <c r="B72" s="84">
        <f>SUM(B64:B71)</f>
        <v>38</v>
      </c>
      <c r="C72" s="111" t="str">
        <f xml:space="preserve"> setValueToTime(B72)</f>
        <v>3h10min</v>
      </c>
      <c r="D72" s="120"/>
      <c r="E72" s="258"/>
      <c r="F72" s="259"/>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50" t="s">
        <v>18</v>
      </c>
      <c r="F75" s="251"/>
      <c r="G75" s="46"/>
    </row>
    <row r="76" spans="1:7" s="52" customFormat="1" ht="40.5" x14ac:dyDescent="0.3">
      <c r="A76" s="48" t="s">
        <v>100</v>
      </c>
      <c r="B76" s="49">
        <v>25</v>
      </c>
      <c r="C76" s="152" t="str">
        <f xml:space="preserve"> IF(B76="","",setValueToTime(B76))</f>
        <v>2h5min</v>
      </c>
      <c r="D76" s="172" t="s">
        <v>164</v>
      </c>
      <c r="E76" s="252"/>
      <c r="F76" s="253"/>
      <c r="G76" s="51"/>
    </row>
    <row r="77" spans="1:7" s="52" customFormat="1" x14ac:dyDescent="0.3">
      <c r="A77" s="53" t="s">
        <v>95</v>
      </c>
      <c r="B77" s="54">
        <v>8</v>
      </c>
      <c r="C77" s="153" t="str">
        <f t="shared" ref="C77:C79" si="15" xml:space="preserve"> IF(B77="","",setValueToTime(B77))</f>
        <v>0h40min</v>
      </c>
      <c r="D77" s="175" t="s">
        <v>108</v>
      </c>
      <c r="E77" s="254"/>
      <c r="F77" s="255"/>
      <c r="G77" s="51"/>
    </row>
    <row r="78" spans="1:7" s="52" customFormat="1" x14ac:dyDescent="0.3">
      <c r="A78" s="53" t="s">
        <v>101</v>
      </c>
      <c r="B78" s="54">
        <v>2</v>
      </c>
      <c r="C78" s="153" t="str">
        <f t="shared" si="15"/>
        <v>0h10min</v>
      </c>
      <c r="D78" s="175" t="s">
        <v>111</v>
      </c>
      <c r="E78" s="254"/>
      <c r="F78" s="255"/>
      <c r="G78" s="51"/>
    </row>
    <row r="79" spans="1:7" s="52" customFormat="1" x14ac:dyDescent="0.3">
      <c r="A79" s="53" t="s">
        <v>91</v>
      </c>
      <c r="B79" s="54">
        <v>3</v>
      </c>
      <c r="C79" s="153" t="str">
        <f t="shared" si="15"/>
        <v>0h15min</v>
      </c>
      <c r="D79" s="175" t="s">
        <v>109</v>
      </c>
      <c r="E79" s="254"/>
      <c r="F79" s="255"/>
      <c r="G79" s="51"/>
    </row>
    <row r="80" spans="1:7" s="52" customFormat="1" x14ac:dyDescent="0.3">
      <c r="A80" s="54"/>
      <c r="B80" s="54"/>
      <c r="C80" s="154" t="str">
        <f t="shared" ref="C80:C83" si="16" xml:space="preserve"> IF(B80="","",setValueToTime(B80))</f>
        <v/>
      </c>
      <c r="D80" s="55"/>
      <c r="E80" s="254"/>
      <c r="F80" s="255"/>
      <c r="G80" s="51"/>
    </row>
    <row r="81" spans="1:7" s="52" customFormat="1" x14ac:dyDescent="0.3">
      <c r="A81" s="54"/>
      <c r="B81" s="54"/>
      <c r="C81" s="154" t="str">
        <f t="shared" si="16"/>
        <v/>
      </c>
      <c r="D81" s="55"/>
      <c r="E81" s="254"/>
      <c r="F81" s="255"/>
      <c r="G81" s="51"/>
    </row>
    <row r="82" spans="1:7" s="52" customFormat="1" x14ac:dyDescent="0.3">
      <c r="A82" s="54"/>
      <c r="B82" s="54"/>
      <c r="C82" s="154" t="str">
        <f t="shared" si="16"/>
        <v/>
      </c>
      <c r="D82" s="55"/>
      <c r="E82" s="254"/>
      <c r="F82" s="255"/>
      <c r="G82" s="51"/>
    </row>
    <row r="83" spans="1:7" s="52" customFormat="1" ht="15" thickBot="1" x14ac:dyDescent="0.35">
      <c r="A83" s="56"/>
      <c r="B83" s="56"/>
      <c r="C83" s="155" t="str">
        <f t="shared" si="16"/>
        <v/>
      </c>
      <c r="D83" s="57"/>
      <c r="E83" s="256"/>
      <c r="F83" s="257"/>
      <c r="G83" s="51"/>
    </row>
    <row r="84" spans="1:7" s="52" customFormat="1" ht="15" thickBot="1" x14ac:dyDescent="0.35">
      <c r="A84" s="111" t="s">
        <v>31</v>
      </c>
      <c r="B84" s="84">
        <f>SUM(B76:B83)</f>
        <v>38</v>
      </c>
      <c r="C84" s="111" t="str">
        <f xml:space="preserve"> setValueToTime(B84)</f>
        <v>3h10min</v>
      </c>
      <c r="D84" s="120"/>
      <c r="E84" s="258"/>
      <c r="F84" s="259"/>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50" t="s">
        <v>18</v>
      </c>
      <c r="F87" s="251"/>
      <c r="G87" s="46"/>
    </row>
    <row r="88" spans="1:7" s="52" customFormat="1" ht="27" x14ac:dyDescent="0.3">
      <c r="A88" s="48" t="s">
        <v>99</v>
      </c>
      <c r="B88" s="49">
        <v>10</v>
      </c>
      <c r="C88" s="152" t="str">
        <f xml:space="preserve"> IF(B88="","",setValueToTime(B88))</f>
        <v>0h50min</v>
      </c>
      <c r="D88" s="172" t="s">
        <v>112</v>
      </c>
      <c r="E88" s="252"/>
      <c r="F88" s="253"/>
      <c r="G88" s="51"/>
    </row>
    <row r="89" spans="1:7" s="52" customFormat="1" x14ac:dyDescent="0.3">
      <c r="A89" s="53" t="s">
        <v>92</v>
      </c>
      <c r="B89" s="54">
        <v>20</v>
      </c>
      <c r="C89" s="153" t="str">
        <f t="shared" ref="C89:C92" si="17" xml:space="preserve"> IF(B89="","",setValueToTime(B89))</f>
        <v>1h40min</v>
      </c>
      <c r="D89" s="175" t="s">
        <v>110</v>
      </c>
      <c r="E89" s="254"/>
      <c r="F89" s="255"/>
      <c r="G89" s="51"/>
    </row>
    <row r="90" spans="1:7" s="52" customFormat="1" x14ac:dyDescent="0.3">
      <c r="A90" s="53" t="s">
        <v>95</v>
      </c>
      <c r="B90" s="54">
        <v>3</v>
      </c>
      <c r="C90" s="153" t="str">
        <f t="shared" si="17"/>
        <v>0h15min</v>
      </c>
      <c r="D90" s="175" t="s">
        <v>108</v>
      </c>
      <c r="E90" s="254"/>
      <c r="F90" s="255"/>
      <c r="G90" s="51"/>
    </row>
    <row r="91" spans="1:7" s="52" customFormat="1" x14ac:dyDescent="0.3">
      <c r="A91" s="53" t="s">
        <v>101</v>
      </c>
      <c r="B91" s="54">
        <v>2</v>
      </c>
      <c r="C91" s="153" t="str">
        <f t="shared" si="17"/>
        <v>0h10min</v>
      </c>
      <c r="D91" s="175" t="s">
        <v>111</v>
      </c>
      <c r="E91" s="254"/>
      <c r="F91" s="255"/>
      <c r="G91" s="51"/>
    </row>
    <row r="92" spans="1:7" s="52" customFormat="1" x14ac:dyDescent="0.3">
      <c r="A92" s="53" t="s">
        <v>91</v>
      </c>
      <c r="B92" s="54">
        <v>3</v>
      </c>
      <c r="C92" s="153" t="str">
        <f t="shared" si="17"/>
        <v>0h15min</v>
      </c>
      <c r="D92" s="175" t="s">
        <v>109</v>
      </c>
      <c r="E92" s="254"/>
      <c r="F92" s="255"/>
      <c r="G92" s="51"/>
    </row>
    <row r="93" spans="1:7" s="52" customFormat="1" x14ac:dyDescent="0.3">
      <c r="A93" s="54"/>
      <c r="B93" s="54"/>
      <c r="C93" s="154" t="str">
        <f t="shared" ref="C93:C95" si="18" xml:space="preserve"> IF(B93="","",setValueToTime(B93))</f>
        <v/>
      </c>
      <c r="D93" s="55"/>
      <c r="E93" s="254"/>
      <c r="F93" s="255"/>
      <c r="G93" s="51"/>
    </row>
    <row r="94" spans="1:7" s="52" customFormat="1" x14ac:dyDescent="0.3">
      <c r="A94" s="54"/>
      <c r="B94" s="54"/>
      <c r="C94" s="154" t="str">
        <f t="shared" si="18"/>
        <v/>
      </c>
      <c r="D94" s="55"/>
      <c r="E94" s="254"/>
      <c r="F94" s="255"/>
      <c r="G94" s="51"/>
    </row>
    <row r="95" spans="1:7" s="52" customFormat="1" ht="15" thickBot="1" x14ac:dyDescent="0.35">
      <c r="A95" s="56"/>
      <c r="B95" s="56"/>
      <c r="C95" s="155" t="str">
        <f t="shared" si="18"/>
        <v/>
      </c>
      <c r="D95" s="57"/>
      <c r="E95" s="256"/>
      <c r="F95" s="257"/>
      <c r="G95" s="51"/>
    </row>
    <row r="96" spans="1:7" s="52" customFormat="1" ht="15" thickBot="1" x14ac:dyDescent="0.35">
      <c r="A96" s="111" t="s">
        <v>31</v>
      </c>
      <c r="B96" s="84">
        <f>SUM(B88:B95)</f>
        <v>38</v>
      </c>
      <c r="C96" s="111" t="str">
        <f xml:space="preserve"> setValueToTime(B96)</f>
        <v>3h10min</v>
      </c>
      <c r="D96" s="120"/>
      <c r="E96" s="258"/>
      <c r="F96" s="259"/>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50" t="s">
        <v>18</v>
      </c>
      <c r="F99" s="251"/>
      <c r="G99" s="46"/>
    </row>
    <row r="100" spans="1:7" s="52" customFormat="1" ht="27" x14ac:dyDescent="0.3">
      <c r="A100" s="48" t="s">
        <v>99</v>
      </c>
      <c r="B100" s="49">
        <v>33</v>
      </c>
      <c r="C100" s="152" t="str">
        <f xml:space="preserve"> IF(B100="","",setValueToTime(B100))</f>
        <v>2h45min</v>
      </c>
      <c r="D100" s="172" t="s">
        <v>112</v>
      </c>
      <c r="E100" s="252"/>
      <c r="F100" s="253"/>
      <c r="G100" s="51"/>
    </row>
    <row r="101" spans="1:7" s="52" customFormat="1" x14ac:dyDescent="0.3">
      <c r="A101" s="53" t="s">
        <v>95</v>
      </c>
      <c r="B101" s="54">
        <v>10</v>
      </c>
      <c r="C101" s="153" t="str">
        <f t="shared" ref="C101:C103" si="19" xml:space="preserve"> IF(B101="","",setValueToTime(B101))</f>
        <v>0h50min</v>
      </c>
      <c r="D101" s="175" t="s">
        <v>108</v>
      </c>
      <c r="E101" s="254"/>
      <c r="F101" s="255"/>
      <c r="G101" s="51"/>
    </row>
    <row r="102" spans="1:7" s="52" customFormat="1" x14ac:dyDescent="0.3">
      <c r="A102" s="53" t="s">
        <v>101</v>
      </c>
      <c r="B102" s="54">
        <v>2</v>
      </c>
      <c r="C102" s="153" t="str">
        <f t="shared" si="19"/>
        <v>0h10min</v>
      </c>
      <c r="D102" s="175" t="s">
        <v>111</v>
      </c>
      <c r="E102" s="254"/>
      <c r="F102" s="255"/>
      <c r="G102" s="51"/>
    </row>
    <row r="103" spans="1:7" s="52" customFormat="1" x14ac:dyDescent="0.3">
      <c r="A103" s="53" t="s">
        <v>91</v>
      </c>
      <c r="B103" s="54">
        <v>3</v>
      </c>
      <c r="C103" s="153" t="str">
        <f t="shared" si="19"/>
        <v>0h15min</v>
      </c>
      <c r="D103" s="175" t="s">
        <v>109</v>
      </c>
      <c r="E103" s="254"/>
      <c r="F103" s="255"/>
      <c r="G103" s="51"/>
    </row>
    <row r="104" spans="1:7" s="52" customFormat="1" x14ac:dyDescent="0.3">
      <c r="A104" s="54"/>
      <c r="B104" s="54"/>
      <c r="C104" s="154" t="str">
        <f t="shared" ref="C104:C107" si="20" xml:space="preserve"> IF(B104="","",setValueToTime(B104))</f>
        <v/>
      </c>
      <c r="D104" s="55"/>
      <c r="E104" s="254"/>
      <c r="F104" s="255"/>
      <c r="G104" s="51"/>
    </row>
    <row r="105" spans="1:7" s="52" customFormat="1" x14ac:dyDescent="0.3">
      <c r="A105" s="54"/>
      <c r="B105" s="54"/>
      <c r="C105" s="154" t="str">
        <f t="shared" si="20"/>
        <v/>
      </c>
      <c r="D105" s="55"/>
      <c r="E105" s="254"/>
      <c r="F105" s="255"/>
      <c r="G105" s="51"/>
    </row>
    <row r="106" spans="1:7" s="52" customFormat="1" x14ac:dyDescent="0.3">
      <c r="A106" s="54"/>
      <c r="B106" s="54"/>
      <c r="C106" s="154" t="str">
        <f t="shared" si="20"/>
        <v/>
      </c>
      <c r="D106" s="55"/>
      <c r="E106" s="254"/>
      <c r="F106" s="255"/>
      <c r="G106" s="51"/>
    </row>
    <row r="107" spans="1:7" s="52" customFormat="1" ht="15" thickBot="1" x14ac:dyDescent="0.35">
      <c r="A107" s="56"/>
      <c r="B107" s="56"/>
      <c r="C107" s="155" t="str">
        <f t="shared" si="20"/>
        <v/>
      </c>
      <c r="D107" s="57"/>
      <c r="E107" s="256"/>
      <c r="F107" s="257"/>
      <c r="G107" s="51"/>
    </row>
    <row r="108" spans="1:7" s="52" customFormat="1" ht="15" thickBot="1" x14ac:dyDescent="0.35">
      <c r="A108" s="111" t="s">
        <v>31</v>
      </c>
      <c r="B108" s="84">
        <f>SUM(B100:B107)</f>
        <v>48</v>
      </c>
      <c r="C108" s="111" t="str">
        <f xml:space="preserve"> setValueToTime(B108)</f>
        <v>4h</v>
      </c>
      <c r="D108" s="120"/>
      <c r="E108" s="258"/>
      <c r="F108" s="259"/>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50" t="s">
        <v>18</v>
      </c>
      <c r="F111" s="251"/>
      <c r="G111" s="46"/>
    </row>
    <row r="112" spans="1:7" s="52" customFormat="1" ht="27" x14ac:dyDescent="0.3">
      <c r="A112" s="48" t="s">
        <v>99</v>
      </c>
      <c r="B112" s="49">
        <v>25</v>
      </c>
      <c r="C112" s="152" t="str">
        <f xml:space="preserve"> IF(B112="","",setValueToTime(B112))</f>
        <v>2h5min</v>
      </c>
      <c r="D112" s="172" t="s">
        <v>112</v>
      </c>
      <c r="E112" s="252"/>
      <c r="F112" s="253"/>
      <c r="G112" s="51"/>
    </row>
    <row r="113" spans="1:7" s="52" customFormat="1" x14ac:dyDescent="0.3">
      <c r="A113" s="53" t="s">
        <v>95</v>
      </c>
      <c r="B113" s="54">
        <v>8</v>
      </c>
      <c r="C113" s="153" t="str">
        <f t="shared" ref="C113:C115" si="21" xml:space="preserve"> IF(B113="","",setValueToTime(B113))</f>
        <v>0h40min</v>
      </c>
      <c r="D113" s="175" t="s">
        <v>108</v>
      </c>
      <c r="E113" s="254"/>
      <c r="F113" s="255"/>
      <c r="G113" s="51"/>
    </row>
    <row r="114" spans="1:7" s="52" customFormat="1" x14ac:dyDescent="0.3">
      <c r="A114" s="53" t="s">
        <v>101</v>
      </c>
      <c r="B114" s="54">
        <v>2</v>
      </c>
      <c r="C114" s="153" t="str">
        <f t="shared" si="21"/>
        <v>0h10min</v>
      </c>
      <c r="D114" s="175" t="s">
        <v>111</v>
      </c>
      <c r="E114" s="254"/>
      <c r="F114" s="255"/>
      <c r="G114" s="51"/>
    </row>
    <row r="115" spans="1:7" s="52" customFormat="1" x14ac:dyDescent="0.3">
      <c r="A115" s="53" t="s">
        <v>91</v>
      </c>
      <c r="B115" s="54">
        <v>3</v>
      </c>
      <c r="C115" s="153" t="str">
        <f t="shared" si="21"/>
        <v>0h15min</v>
      </c>
      <c r="D115" s="175" t="s">
        <v>109</v>
      </c>
      <c r="E115" s="254"/>
      <c r="F115" s="255"/>
      <c r="G115" s="51"/>
    </row>
    <row r="116" spans="1:7" s="52" customFormat="1" x14ac:dyDescent="0.3">
      <c r="A116" s="54"/>
      <c r="B116" s="54"/>
      <c r="C116" s="154" t="str">
        <f t="shared" ref="C116:C119" si="22" xml:space="preserve"> IF(B116="","",setValueToTime(B116))</f>
        <v/>
      </c>
      <c r="D116" s="55"/>
      <c r="E116" s="254"/>
      <c r="F116" s="255"/>
      <c r="G116" s="51"/>
    </row>
    <row r="117" spans="1:7" s="52" customFormat="1" x14ac:dyDescent="0.3">
      <c r="A117" s="54"/>
      <c r="B117" s="54"/>
      <c r="C117" s="154" t="str">
        <f t="shared" si="22"/>
        <v/>
      </c>
      <c r="D117" s="55"/>
      <c r="E117" s="254"/>
      <c r="F117" s="255"/>
      <c r="G117" s="51"/>
    </row>
    <row r="118" spans="1:7" s="52" customFormat="1" x14ac:dyDescent="0.3">
      <c r="A118" s="54"/>
      <c r="B118" s="54"/>
      <c r="C118" s="154" t="str">
        <f t="shared" si="22"/>
        <v/>
      </c>
      <c r="D118" s="55"/>
      <c r="E118" s="254"/>
      <c r="F118" s="255"/>
      <c r="G118" s="51"/>
    </row>
    <row r="119" spans="1:7" s="52" customFormat="1" ht="15" thickBot="1" x14ac:dyDescent="0.35">
      <c r="A119" s="56"/>
      <c r="B119" s="56"/>
      <c r="C119" s="155" t="str">
        <f t="shared" si="22"/>
        <v/>
      </c>
      <c r="D119" s="57"/>
      <c r="E119" s="256"/>
      <c r="F119" s="257"/>
      <c r="G119" s="51"/>
    </row>
    <row r="120" spans="1:7" s="52" customFormat="1" ht="15" thickBot="1" x14ac:dyDescent="0.35">
      <c r="A120" s="111" t="s">
        <v>31</v>
      </c>
      <c r="B120" s="84">
        <f>SUM(B112:B119)</f>
        <v>38</v>
      </c>
      <c r="C120" s="111" t="str">
        <f xml:space="preserve"> setValueToTime(B120)</f>
        <v>3h10min</v>
      </c>
      <c r="D120" s="120"/>
      <c r="E120" s="258"/>
      <c r="F120" s="259"/>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50" t="s">
        <v>18</v>
      </c>
      <c r="F123" s="251"/>
      <c r="G123" s="46"/>
    </row>
    <row r="124" spans="1:7" s="52" customFormat="1" ht="27" x14ac:dyDescent="0.3">
      <c r="A124" s="48" t="s">
        <v>99</v>
      </c>
      <c r="B124" s="49">
        <v>33</v>
      </c>
      <c r="C124" s="152" t="str">
        <f xml:space="preserve"> IF(B124="","",setValueToTime(B124))</f>
        <v>2h45min</v>
      </c>
      <c r="D124" s="172" t="s">
        <v>112</v>
      </c>
      <c r="E124" s="252"/>
      <c r="F124" s="253"/>
      <c r="G124" s="51"/>
    </row>
    <row r="125" spans="1:7" s="52" customFormat="1" x14ac:dyDescent="0.3">
      <c r="A125" s="53" t="s">
        <v>95</v>
      </c>
      <c r="B125" s="54">
        <v>10</v>
      </c>
      <c r="C125" s="153" t="str">
        <f t="shared" ref="C125:C127" si="23" xml:space="preserve"> IF(B125="","",setValueToTime(B125))</f>
        <v>0h50min</v>
      </c>
      <c r="D125" s="175" t="s">
        <v>108</v>
      </c>
      <c r="E125" s="254"/>
      <c r="F125" s="255"/>
      <c r="G125" s="51"/>
    </row>
    <row r="126" spans="1:7" s="52" customFormat="1" x14ac:dyDescent="0.3">
      <c r="A126" s="53" t="s">
        <v>101</v>
      </c>
      <c r="B126" s="54">
        <v>2</v>
      </c>
      <c r="C126" s="153" t="str">
        <f t="shared" si="23"/>
        <v>0h10min</v>
      </c>
      <c r="D126" s="175" t="s">
        <v>111</v>
      </c>
      <c r="E126" s="254"/>
      <c r="F126" s="255"/>
      <c r="G126" s="51"/>
    </row>
    <row r="127" spans="1:7" s="52" customFormat="1" x14ac:dyDescent="0.3">
      <c r="A127" s="53" t="s">
        <v>91</v>
      </c>
      <c r="B127" s="54">
        <v>3</v>
      </c>
      <c r="C127" s="153" t="str">
        <f t="shared" si="23"/>
        <v>0h15min</v>
      </c>
      <c r="D127" s="175" t="s">
        <v>109</v>
      </c>
      <c r="E127" s="254"/>
      <c r="F127" s="255"/>
      <c r="G127" s="51"/>
    </row>
    <row r="128" spans="1:7" s="52" customFormat="1" x14ac:dyDescent="0.3">
      <c r="A128" s="54"/>
      <c r="B128" s="54"/>
      <c r="C128" s="154" t="str">
        <f t="shared" ref="C128:C131" si="24" xml:space="preserve"> IF(B128="","",setValueToTime(B128))</f>
        <v/>
      </c>
      <c r="D128" s="55"/>
      <c r="E128" s="254"/>
      <c r="F128" s="255"/>
      <c r="G128" s="51"/>
    </row>
    <row r="129" spans="1:7" s="52" customFormat="1" x14ac:dyDescent="0.3">
      <c r="A129" s="54"/>
      <c r="B129" s="54"/>
      <c r="C129" s="154" t="str">
        <f t="shared" si="24"/>
        <v/>
      </c>
      <c r="D129" s="55"/>
      <c r="E129" s="254"/>
      <c r="F129" s="255"/>
      <c r="G129" s="51"/>
    </row>
    <row r="130" spans="1:7" s="52" customFormat="1" x14ac:dyDescent="0.3">
      <c r="A130" s="54"/>
      <c r="B130" s="54"/>
      <c r="C130" s="154" t="str">
        <f t="shared" si="24"/>
        <v/>
      </c>
      <c r="D130" s="55"/>
      <c r="E130" s="254"/>
      <c r="F130" s="255"/>
      <c r="G130" s="51"/>
    </row>
    <row r="131" spans="1:7" s="52" customFormat="1" ht="15" thickBot="1" x14ac:dyDescent="0.35">
      <c r="A131" s="56"/>
      <c r="B131" s="56"/>
      <c r="C131" s="155" t="str">
        <f t="shared" si="24"/>
        <v/>
      </c>
      <c r="D131" s="57"/>
      <c r="E131" s="256"/>
      <c r="F131" s="257"/>
      <c r="G131" s="51"/>
    </row>
    <row r="132" spans="1:7" s="52" customFormat="1" ht="15" thickBot="1" x14ac:dyDescent="0.35">
      <c r="A132" s="111" t="s">
        <v>31</v>
      </c>
      <c r="B132" s="84">
        <f>SUM(B124:B131)</f>
        <v>48</v>
      </c>
      <c r="C132" s="111" t="str">
        <f xml:space="preserve"> setValueToTime(B132)</f>
        <v>4h</v>
      </c>
      <c r="D132" s="120"/>
      <c r="E132" s="258"/>
      <c r="F132" s="259"/>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50" t="s">
        <v>18</v>
      </c>
      <c r="F135" s="251"/>
      <c r="G135" s="46"/>
    </row>
    <row r="136" spans="1:7" s="52" customFormat="1" ht="27" x14ac:dyDescent="0.3">
      <c r="A136" s="48" t="s">
        <v>99</v>
      </c>
      <c r="B136" s="49">
        <v>25</v>
      </c>
      <c r="C136" s="152" t="str">
        <f xml:space="preserve"> IF(B136="","",setValueToTime(B136))</f>
        <v>2h5min</v>
      </c>
      <c r="D136" s="172" t="s">
        <v>112</v>
      </c>
      <c r="E136" s="252"/>
      <c r="F136" s="253"/>
      <c r="G136" s="51"/>
    </row>
    <row r="137" spans="1:7" s="52" customFormat="1" x14ac:dyDescent="0.3">
      <c r="A137" s="53" t="s">
        <v>95</v>
      </c>
      <c r="B137" s="54">
        <v>8</v>
      </c>
      <c r="C137" s="153" t="str">
        <f t="shared" ref="C137:C139" si="25" xml:space="preserve"> IF(B137="","",setValueToTime(B137))</f>
        <v>0h40min</v>
      </c>
      <c r="D137" s="175" t="s">
        <v>108</v>
      </c>
      <c r="E137" s="254"/>
      <c r="F137" s="255"/>
      <c r="G137" s="51"/>
    </row>
    <row r="138" spans="1:7" s="52" customFormat="1" x14ac:dyDescent="0.3">
      <c r="A138" s="53" t="s">
        <v>101</v>
      </c>
      <c r="B138" s="54">
        <v>2</v>
      </c>
      <c r="C138" s="153" t="str">
        <f t="shared" si="25"/>
        <v>0h10min</v>
      </c>
      <c r="D138" s="175" t="s">
        <v>111</v>
      </c>
      <c r="E138" s="254"/>
      <c r="F138" s="255"/>
      <c r="G138" s="51"/>
    </row>
    <row r="139" spans="1:7" s="52" customFormat="1" x14ac:dyDescent="0.3">
      <c r="A139" s="53" t="s">
        <v>91</v>
      </c>
      <c r="B139" s="54">
        <v>3</v>
      </c>
      <c r="C139" s="153" t="str">
        <f t="shared" si="25"/>
        <v>0h15min</v>
      </c>
      <c r="D139" s="175" t="s">
        <v>109</v>
      </c>
      <c r="E139" s="254"/>
      <c r="F139" s="255"/>
      <c r="G139" s="51"/>
    </row>
    <row r="140" spans="1:7" s="52" customFormat="1" x14ac:dyDescent="0.3">
      <c r="A140" s="54"/>
      <c r="B140" s="54"/>
      <c r="C140" s="154" t="str">
        <f t="shared" ref="C140:C143" si="26" xml:space="preserve"> IF(B140="","",setValueToTime(B140))</f>
        <v/>
      </c>
      <c r="D140" s="55"/>
      <c r="E140" s="254"/>
      <c r="F140" s="255"/>
      <c r="G140" s="51"/>
    </row>
    <row r="141" spans="1:7" s="52" customFormat="1" x14ac:dyDescent="0.3">
      <c r="A141" s="54"/>
      <c r="B141" s="54"/>
      <c r="C141" s="154" t="str">
        <f t="shared" si="26"/>
        <v/>
      </c>
      <c r="D141" s="55"/>
      <c r="E141" s="254"/>
      <c r="F141" s="255"/>
      <c r="G141" s="51"/>
    </row>
    <row r="142" spans="1:7" s="52" customFormat="1" x14ac:dyDescent="0.3">
      <c r="A142" s="54"/>
      <c r="B142" s="54"/>
      <c r="C142" s="154" t="str">
        <f t="shared" si="26"/>
        <v/>
      </c>
      <c r="D142" s="55"/>
      <c r="E142" s="254"/>
      <c r="F142" s="255"/>
      <c r="G142" s="51"/>
    </row>
    <row r="143" spans="1:7" s="52" customFormat="1" ht="15" thickBot="1" x14ac:dyDescent="0.35">
      <c r="A143" s="56"/>
      <c r="B143" s="56"/>
      <c r="C143" s="155" t="str">
        <f t="shared" si="26"/>
        <v/>
      </c>
      <c r="D143" s="57"/>
      <c r="E143" s="256"/>
      <c r="F143" s="257"/>
      <c r="G143" s="51"/>
    </row>
    <row r="144" spans="1:7" s="52" customFormat="1" ht="15" thickBot="1" x14ac:dyDescent="0.35">
      <c r="A144" s="111" t="s">
        <v>31</v>
      </c>
      <c r="B144" s="84">
        <f>SUM(B136:B143)</f>
        <v>38</v>
      </c>
      <c r="C144" s="111" t="str">
        <f xml:space="preserve"> setValueToTime(B144)</f>
        <v>3h10min</v>
      </c>
      <c r="D144" s="120"/>
      <c r="E144" s="258"/>
      <c r="F144" s="259"/>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50" t="s">
        <v>18</v>
      </c>
      <c r="F147" s="251"/>
      <c r="G147" s="46"/>
    </row>
    <row r="148" spans="1:7" s="52" customFormat="1" ht="27" x14ac:dyDescent="0.3">
      <c r="A148" s="48" t="s">
        <v>98</v>
      </c>
      <c r="B148" s="49">
        <v>10</v>
      </c>
      <c r="C148" s="152" t="str">
        <f xml:space="preserve"> IF(B148="","",setValueToTime(B148))</f>
        <v>0h50min</v>
      </c>
      <c r="D148" s="172" t="s">
        <v>162</v>
      </c>
      <c r="E148" s="252"/>
      <c r="F148" s="253"/>
      <c r="G148" s="51"/>
    </row>
    <row r="149" spans="1:7" s="52" customFormat="1" ht="27" x14ac:dyDescent="0.3">
      <c r="A149" s="53" t="s">
        <v>92</v>
      </c>
      <c r="B149" s="54">
        <v>20</v>
      </c>
      <c r="C149" s="153" t="str">
        <f t="shared" ref="C149:C152" si="27" xml:space="preserve"> IF(B149="","",setValueToTime(B149))</f>
        <v>1h40min</v>
      </c>
      <c r="D149" s="175" t="s">
        <v>163</v>
      </c>
      <c r="E149" s="254"/>
      <c r="F149" s="255"/>
      <c r="G149" s="51"/>
    </row>
    <row r="150" spans="1:7" s="52" customFormat="1" x14ac:dyDescent="0.3">
      <c r="A150" s="53" t="s">
        <v>95</v>
      </c>
      <c r="B150" s="54">
        <v>3</v>
      </c>
      <c r="C150" s="153" t="str">
        <f t="shared" si="27"/>
        <v>0h15min</v>
      </c>
      <c r="D150" s="175" t="s">
        <v>108</v>
      </c>
      <c r="E150" s="254"/>
      <c r="F150" s="255"/>
      <c r="G150" s="51"/>
    </row>
    <row r="151" spans="1:7" s="52" customFormat="1" x14ac:dyDescent="0.3">
      <c r="A151" s="53" t="s">
        <v>101</v>
      </c>
      <c r="B151" s="54">
        <v>2</v>
      </c>
      <c r="C151" s="153" t="str">
        <f t="shared" si="27"/>
        <v>0h10min</v>
      </c>
      <c r="D151" s="175" t="s">
        <v>161</v>
      </c>
      <c r="E151" s="254"/>
      <c r="F151" s="255"/>
      <c r="G151" s="51"/>
    </row>
    <row r="152" spans="1:7" s="52" customFormat="1" x14ac:dyDescent="0.3">
      <c r="A152" s="53" t="s">
        <v>91</v>
      </c>
      <c r="B152" s="54">
        <v>3</v>
      </c>
      <c r="C152" s="153" t="str">
        <f t="shared" si="27"/>
        <v>0h15min</v>
      </c>
      <c r="D152" s="175" t="s">
        <v>109</v>
      </c>
      <c r="E152" s="254"/>
      <c r="F152" s="255"/>
      <c r="G152" s="51"/>
    </row>
    <row r="153" spans="1:7" s="52" customFormat="1" x14ac:dyDescent="0.3">
      <c r="A153" s="54"/>
      <c r="B153" s="54"/>
      <c r="C153" s="154" t="str">
        <f t="shared" ref="C153:C155" si="28" xml:space="preserve"> IF(B153="","",setValueToTime(B153))</f>
        <v/>
      </c>
      <c r="D153" s="55"/>
      <c r="E153" s="254"/>
      <c r="F153" s="255"/>
      <c r="G153" s="51"/>
    </row>
    <row r="154" spans="1:7" s="52" customFormat="1" x14ac:dyDescent="0.3">
      <c r="A154" s="54"/>
      <c r="B154" s="54"/>
      <c r="C154" s="154" t="str">
        <f t="shared" si="28"/>
        <v/>
      </c>
      <c r="D154" s="55"/>
      <c r="E154" s="254"/>
      <c r="F154" s="255"/>
      <c r="G154" s="51"/>
    </row>
    <row r="155" spans="1:7" s="52" customFormat="1" ht="15" thickBot="1" x14ac:dyDescent="0.35">
      <c r="A155" s="56"/>
      <c r="B155" s="56"/>
      <c r="C155" s="155" t="str">
        <f t="shared" si="28"/>
        <v/>
      </c>
      <c r="D155" s="57"/>
      <c r="E155" s="256"/>
      <c r="F155" s="257"/>
      <c r="G155" s="51"/>
    </row>
    <row r="156" spans="1:7" s="52" customFormat="1" ht="15" thickBot="1" x14ac:dyDescent="0.35">
      <c r="A156" s="111" t="s">
        <v>31</v>
      </c>
      <c r="B156" s="84">
        <f>SUM(B148:B155)</f>
        <v>38</v>
      </c>
      <c r="C156" s="111" t="str">
        <f xml:space="preserve"> setValueToTime(B156)</f>
        <v>3h10min</v>
      </c>
      <c r="D156" s="120"/>
      <c r="E156" s="258"/>
      <c r="F156" s="259"/>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50" t="s">
        <v>18</v>
      </c>
      <c r="F159" s="251"/>
      <c r="G159" s="46"/>
    </row>
    <row r="160" spans="1:7" s="52" customFormat="1" ht="27" x14ac:dyDescent="0.3">
      <c r="A160" s="48" t="s">
        <v>98</v>
      </c>
      <c r="B160" s="49">
        <v>25</v>
      </c>
      <c r="C160" s="152" t="str">
        <f xml:space="preserve"> IF(B160="","",setValueToTime(B160))</f>
        <v>2h5min</v>
      </c>
      <c r="D160" s="172" t="s">
        <v>162</v>
      </c>
      <c r="E160" s="252"/>
      <c r="F160" s="253"/>
      <c r="G160" s="51"/>
    </row>
    <row r="161" spans="1:7" s="52" customFormat="1" x14ac:dyDescent="0.3">
      <c r="A161" s="53" t="s">
        <v>95</v>
      </c>
      <c r="B161" s="54">
        <v>8</v>
      </c>
      <c r="C161" s="153" t="str">
        <f t="shared" ref="C161:C163" si="29" xml:space="preserve"> IF(B161="","",setValueToTime(B161))</f>
        <v>0h40min</v>
      </c>
      <c r="D161" s="175" t="s">
        <v>108</v>
      </c>
      <c r="E161" s="254"/>
      <c r="F161" s="255"/>
      <c r="G161" s="51"/>
    </row>
    <row r="162" spans="1:7" s="52" customFormat="1" x14ac:dyDescent="0.3">
      <c r="A162" s="53" t="s">
        <v>101</v>
      </c>
      <c r="B162" s="54">
        <v>2</v>
      </c>
      <c r="C162" s="153" t="str">
        <f t="shared" si="29"/>
        <v>0h10min</v>
      </c>
      <c r="D162" s="175" t="s">
        <v>161</v>
      </c>
      <c r="E162" s="254"/>
      <c r="F162" s="255"/>
      <c r="G162" s="51"/>
    </row>
    <row r="163" spans="1:7" s="52" customFormat="1" x14ac:dyDescent="0.3">
      <c r="A163" s="53" t="s">
        <v>91</v>
      </c>
      <c r="B163" s="54">
        <v>3</v>
      </c>
      <c r="C163" s="153" t="str">
        <f t="shared" si="29"/>
        <v>0h15min</v>
      </c>
      <c r="D163" s="175" t="s">
        <v>109</v>
      </c>
      <c r="E163" s="254"/>
      <c r="F163" s="255"/>
      <c r="G163" s="51"/>
    </row>
    <row r="164" spans="1:7" s="52" customFormat="1" x14ac:dyDescent="0.3">
      <c r="A164" s="54"/>
      <c r="B164" s="54"/>
      <c r="C164" s="154" t="str">
        <f t="shared" ref="C164:C167" si="30" xml:space="preserve"> IF(B164="","",setValueToTime(B164))</f>
        <v/>
      </c>
      <c r="D164" s="55"/>
      <c r="E164" s="254"/>
      <c r="F164" s="255"/>
      <c r="G164" s="51"/>
    </row>
    <row r="165" spans="1:7" s="52" customFormat="1" x14ac:dyDescent="0.3">
      <c r="A165" s="54"/>
      <c r="B165" s="54"/>
      <c r="C165" s="154" t="str">
        <f t="shared" si="30"/>
        <v/>
      </c>
      <c r="D165" s="55"/>
      <c r="E165" s="254"/>
      <c r="F165" s="255"/>
      <c r="G165" s="51"/>
    </row>
    <row r="166" spans="1:7" s="52" customFormat="1" x14ac:dyDescent="0.3">
      <c r="A166" s="54"/>
      <c r="B166" s="54"/>
      <c r="C166" s="154" t="str">
        <f t="shared" si="30"/>
        <v/>
      </c>
      <c r="D166" s="55"/>
      <c r="E166" s="254"/>
      <c r="F166" s="255"/>
      <c r="G166" s="51"/>
    </row>
    <row r="167" spans="1:7" s="52" customFormat="1" ht="15" thickBot="1" x14ac:dyDescent="0.35">
      <c r="A167" s="56"/>
      <c r="B167" s="56"/>
      <c r="C167" s="155" t="str">
        <f t="shared" si="30"/>
        <v/>
      </c>
      <c r="D167" s="57"/>
      <c r="E167" s="256"/>
      <c r="F167" s="257"/>
      <c r="G167" s="51"/>
    </row>
    <row r="168" spans="1:7" s="52" customFormat="1" ht="15" thickBot="1" x14ac:dyDescent="0.35">
      <c r="A168" s="111" t="s">
        <v>31</v>
      </c>
      <c r="B168" s="84">
        <f>SUM(B160:B167)</f>
        <v>38</v>
      </c>
      <c r="C168" s="111" t="str">
        <f xml:space="preserve"> setValueToTime(B168)</f>
        <v>3h10min</v>
      </c>
      <c r="D168" s="120"/>
      <c r="E168" s="258"/>
      <c r="F168" s="259"/>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50" t="s">
        <v>18</v>
      </c>
      <c r="F171" s="251"/>
      <c r="G171" s="46"/>
    </row>
    <row r="172" spans="1:7" s="52" customFormat="1" ht="27" x14ac:dyDescent="0.3">
      <c r="A172" s="48" t="s">
        <v>98</v>
      </c>
      <c r="B172" s="49">
        <v>33</v>
      </c>
      <c r="C172" s="152" t="str">
        <f xml:space="preserve"> IF(B172="","",setValueToTime(B172))</f>
        <v>2h45min</v>
      </c>
      <c r="D172" s="172" t="s">
        <v>162</v>
      </c>
      <c r="E172" s="252"/>
      <c r="F172" s="253"/>
      <c r="G172" s="51"/>
    </row>
    <row r="173" spans="1:7" s="52" customFormat="1" x14ac:dyDescent="0.3">
      <c r="A173" s="53" t="s">
        <v>95</v>
      </c>
      <c r="B173" s="54">
        <v>10</v>
      </c>
      <c r="C173" s="153" t="str">
        <f t="shared" ref="C173:C175" si="31" xml:space="preserve"> IF(B173="","",setValueToTime(B173))</f>
        <v>0h50min</v>
      </c>
      <c r="D173" s="175" t="s">
        <v>108</v>
      </c>
      <c r="E173" s="254"/>
      <c r="F173" s="255"/>
      <c r="G173" s="51"/>
    </row>
    <row r="174" spans="1:7" s="52" customFormat="1" x14ac:dyDescent="0.3">
      <c r="A174" s="53" t="s">
        <v>101</v>
      </c>
      <c r="B174" s="54">
        <v>2</v>
      </c>
      <c r="C174" s="153" t="str">
        <f t="shared" si="31"/>
        <v>0h10min</v>
      </c>
      <c r="D174" s="175" t="s">
        <v>161</v>
      </c>
      <c r="E174" s="254"/>
      <c r="F174" s="255"/>
      <c r="G174" s="51"/>
    </row>
    <row r="175" spans="1:7" s="52" customFormat="1" x14ac:dyDescent="0.3">
      <c r="A175" s="53" t="s">
        <v>91</v>
      </c>
      <c r="B175" s="54">
        <v>3</v>
      </c>
      <c r="C175" s="153" t="str">
        <f t="shared" si="31"/>
        <v>0h15min</v>
      </c>
      <c r="D175" s="175" t="s">
        <v>109</v>
      </c>
      <c r="E175" s="254"/>
      <c r="F175" s="255"/>
      <c r="G175" s="51"/>
    </row>
    <row r="176" spans="1:7" s="52" customFormat="1" x14ac:dyDescent="0.3">
      <c r="A176" s="54"/>
      <c r="B176" s="54"/>
      <c r="C176" s="154" t="str">
        <f t="shared" ref="C176:C179" si="32" xml:space="preserve"> IF(B176="","",setValueToTime(B176))</f>
        <v/>
      </c>
      <c r="D176" s="55"/>
      <c r="E176" s="254"/>
      <c r="F176" s="255"/>
      <c r="G176" s="51"/>
    </row>
    <row r="177" spans="1:7" s="52" customFormat="1" x14ac:dyDescent="0.3">
      <c r="A177" s="54"/>
      <c r="B177" s="54"/>
      <c r="C177" s="154" t="str">
        <f t="shared" si="32"/>
        <v/>
      </c>
      <c r="D177" s="55"/>
      <c r="E177" s="254"/>
      <c r="F177" s="255"/>
      <c r="G177" s="51"/>
    </row>
    <row r="178" spans="1:7" s="52" customFormat="1" x14ac:dyDescent="0.3">
      <c r="A178" s="54"/>
      <c r="B178" s="54"/>
      <c r="C178" s="154" t="str">
        <f t="shared" si="32"/>
        <v/>
      </c>
      <c r="D178" s="55"/>
      <c r="E178" s="254"/>
      <c r="F178" s="255"/>
      <c r="G178" s="51"/>
    </row>
    <row r="179" spans="1:7" s="52" customFormat="1" ht="15" thickBot="1" x14ac:dyDescent="0.35">
      <c r="A179" s="56"/>
      <c r="B179" s="56"/>
      <c r="C179" s="155" t="str">
        <f t="shared" si="32"/>
        <v/>
      </c>
      <c r="D179" s="57"/>
      <c r="E179" s="256"/>
      <c r="F179" s="257"/>
      <c r="G179" s="51"/>
    </row>
    <row r="180" spans="1:7" s="52" customFormat="1" ht="15" thickBot="1" x14ac:dyDescent="0.35">
      <c r="A180" s="111" t="s">
        <v>31</v>
      </c>
      <c r="B180" s="84">
        <f>SUM(B172:B179)</f>
        <v>48</v>
      </c>
      <c r="C180" s="111" t="str">
        <f xml:space="preserve"> setValueToTime(B180)</f>
        <v>4h</v>
      </c>
      <c r="D180" s="120"/>
      <c r="E180" s="258"/>
      <c r="F180" s="259"/>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50" t="s">
        <v>18</v>
      </c>
      <c r="F183" s="251"/>
      <c r="G183" s="46"/>
    </row>
    <row r="184" spans="1:7" s="52" customFormat="1" ht="27" x14ac:dyDescent="0.3">
      <c r="A184" s="48" t="s">
        <v>97</v>
      </c>
      <c r="B184" s="49">
        <v>10</v>
      </c>
      <c r="C184" s="152" t="str">
        <f xml:space="preserve"> IF(B184="","",setValueToTime(B184))</f>
        <v>0h50min</v>
      </c>
      <c r="D184" s="172" t="s">
        <v>160</v>
      </c>
      <c r="E184" s="252"/>
      <c r="F184" s="253"/>
      <c r="G184" s="51"/>
    </row>
    <row r="185" spans="1:7" s="52" customFormat="1" x14ac:dyDescent="0.3">
      <c r="A185" s="53" t="s">
        <v>92</v>
      </c>
      <c r="B185" s="54">
        <v>15</v>
      </c>
      <c r="C185" s="153" t="str">
        <f t="shared" ref="C185:C188" si="33" xml:space="preserve"> IF(B185="","",setValueToTime(B185))</f>
        <v>1h15min</v>
      </c>
      <c r="D185" s="175" t="s">
        <v>110</v>
      </c>
      <c r="E185" s="254"/>
      <c r="F185" s="255"/>
      <c r="G185" s="51"/>
    </row>
    <row r="186" spans="1:7" s="52" customFormat="1" x14ac:dyDescent="0.3">
      <c r="A186" s="53" t="s">
        <v>95</v>
      </c>
      <c r="B186" s="54">
        <v>8</v>
      </c>
      <c r="C186" s="153" t="str">
        <f t="shared" si="33"/>
        <v>0h40min</v>
      </c>
      <c r="D186" s="175" t="s">
        <v>108</v>
      </c>
      <c r="E186" s="254"/>
      <c r="F186" s="255"/>
      <c r="G186" s="51"/>
    </row>
    <row r="187" spans="1:7" s="52" customFormat="1" x14ac:dyDescent="0.3">
      <c r="A187" s="53" t="s">
        <v>101</v>
      </c>
      <c r="B187" s="54">
        <v>2</v>
      </c>
      <c r="C187" s="153" t="str">
        <f t="shared" si="33"/>
        <v>0h10min</v>
      </c>
      <c r="D187" s="175" t="s">
        <v>161</v>
      </c>
      <c r="E187" s="254"/>
      <c r="F187" s="255"/>
      <c r="G187" s="51"/>
    </row>
    <row r="188" spans="1:7" s="52" customFormat="1" x14ac:dyDescent="0.3">
      <c r="A188" s="53" t="s">
        <v>91</v>
      </c>
      <c r="B188" s="54">
        <v>3</v>
      </c>
      <c r="C188" s="153" t="str">
        <f t="shared" si="33"/>
        <v>0h15min</v>
      </c>
      <c r="D188" s="175" t="s">
        <v>109</v>
      </c>
      <c r="E188" s="254"/>
      <c r="F188" s="255"/>
      <c r="G188" s="51"/>
    </row>
    <row r="189" spans="1:7" s="52" customFormat="1" x14ac:dyDescent="0.3">
      <c r="A189" s="54"/>
      <c r="B189" s="54"/>
      <c r="C189" s="154" t="str">
        <f t="shared" ref="C189:C191" si="34" xml:space="preserve"> IF(B189="","",setValueToTime(B189))</f>
        <v/>
      </c>
      <c r="D189" s="55"/>
      <c r="E189" s="254"/>
      <c r="F189" s="255"/>
      <c r="G189" s="51"/>
    </row>
    <row r="190" spans="1:7" s="52" customFormat="1" x14ac:dyDescent="0.3">
      <c r="A190" s="54"/>
      <c r="B190" s="54"/>
      <c r="C190" s="154" t="str">
        <f t="shared" si="34"/>
        <v/>
      </c>
      <c r="D190" s="55"/>
      <c r="E190" s="254"/>
      <c r="F190" s="255"/>
      <c r="G190" s="51"/>
    </row>
    <row r="191" spans="1:7" s="52" customFormat="1" ht="15" thickBot="1" x14ac:dyDescent="0.35">
      <c r="A191" s="56"/>
      <c r="B191" s="56"/>
      <c r="C191" s="155" t="str">
        <f t="shared" si="34"/>
        <v/>
      </c>
      <c r="D191" s="57"/>
      <c r="E191" s="256"/>
      <c r="F191" s="257"/>
      <c r="G191" s="51"/>
    </row>
    <row r="192" spans="1:7" s="52" customFormat="1" ht="15" thickBot="1" x14ac:dyDescent="0.35">
      <c r="A192" s="111" t="s">
        <v>31</v>
      </c>
      <c r="B192" s="84">
        <f>SUM(B184:B191)</f>
        <v>38</v>
      </c>
      <c r="C192" s="111" t="str">
        <f xml:space="preserve"> setValueToTime(B192)</f>
        <v>3h10min</v>
      </c>
      <c r="D192" s="120"/>
      <c r="E192" s="258"/>
      <c r="F192" s="259"/>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50" t="s">
        <v>18</v>
      </c>
      <c r="F195" s="251"/>
      <c r="G195" s="46"/>
    </row>
    <row r="196" spans="1:7" s="52" customFormat="1" ht="27" x14ac:dyDescent="0.3">
      <c r="A196" s="48" t="s">
        <v>97</v>
      </c>
      <c r="B196" s="49">
        <v>33</v>
      </c>
      <c r="C196" s="152" t="str">
        <f xml:space="preserve"> IF(B196="","",setValueToTime(B196))</f>
        <v>2h45min</v>
      </c>
      <c r="D196" s="172" t="s">
        <v>160</v>
      </c>
      <c r="E196" s="252"/>
      <c r="F196" s="253"/>
      <c r="G196" s="51"/>
    </row>
    <row r="197" spans="1:7" s="52" customFormat="1" x14ac:dyDescent="0.3">
      <c r="A197" s="53" t="s">
        <v>95</v>
      </c>
      <c r="B197" s="54">
        <v>10</v>
      </c>
      <c r="C197" s="153" t="str">
        <f t="shared" ref="C197:C199" si="35" xml:space="preserve"> IF(B197="","",setValueToTime(B197))</f>
        <v>0h50min</v>
      </c>
      <c r="D197" s="175" t="s">
        <v>108</v>
      </c>
      <c r="E197" s="254"/>
      <c r="F197" s="255"/>
      <c r="G197" s="51"/>
    </row>
    <row r="198" spans="1:7" s="52" customFormat="1" x14ac:dyDescent="0.3">
      <c r="A198" s="53" t="s">
        <v>101</v>
      </c>
      <c r="B198" s="54">
        <v>2</v>
      </c>
      <c r="C198" s="153" t="str">
        <f t="shared" si="35"/>
        <v>0h10min</v>
      </c>
      <c r="D198" s="175" t="s">
        <v>161</v>
      </c>
      <c r="E198" s="254"/>
      <c r="F198" s="255"/>
      <c r="G198" s="51"/>
    </row>
    <row r="199" spans="1:7" s="52" customFormat="1" x14ac:dyDescent="0.3">
      <c r="A199" s="53" t="s">
        <v>91</v>
      </c>
      <c r="B199" s="54">
        <v>3</v>
      </c>
      <c r="C199" s="153" t="str">
        <f t="shared" si="35"/>
        <v>0h15min</v>
      </c>
      <c r="D199" s="175" t="s">
        <v>109</v>
      </c>
      <c r="E199" s="254"/>
      <c r="F199" s="255"/>
      <c r="G199" s="51"/>
    </row>
    <row r="200" spans="1:7" s="52" customFormat="1" x14ac:dyDescent="0.3">
      <c r="A200" s="54"/>
      <c r="B200" s="54"/>
      <c r="C200" s="154" t="str">
        <f t="shared" ref="C200:C203" si="36" xml:space="preserve"> IF(B200="","",setValueToTime(B200))</f>
        <v/>
      </c>
      <c r="D200" s="55"/>
      <c r="E200" s="254"/>
      <c r="F200" s="255"/>
      <c r="G200" s="51"/>
    </row>
    <row r="201" spans="1:7" s="52" customFormat="1" x14ac:dyDescent="0.3">
      <c r="A201" s="54"/>
      <c r="B201" s="54"/>
      <c r="C201" s="154" t="str">
        <f t="shared" si="36"/>
        <v/>
      </c>
      <c r="D201" s="55"/>
      <c r="E201" s="254"/>
      <c r="F201" s="255"/>
      <c r="G201" s="51"/>
    </row>
    <row r="202" spans="1:7" s="52" customFormat="1" x14ac:dyDescent="0.3">
      <c r="A202" s="54"/>
      <c r="B202" s="54"/>
      <c r="C202" s="154" t="str">
        <f t="shared" si="36"/>
        <v/>
      </c>
      <c r="D202" s="55"/>
      <c r="E202" s="254"/>
      <c r="F202" s="255"/>
      <c r="G202" s="51"/>
    </row>
    <row r="203" spans="1:7" s="52" customFormat="1" ht="15" thickBot="1" x14ac:dyDescent="0.35">
      <c r="A203" s="56"/>
      <c r="B203" s="56"/>
      <c r="C203" s="155" t="str">
        <f t="shared" si="36"/>
        <v/>
      </c>
      <c r="D203" s="57"/>
      <c r="E203" s="256"/>
      <c r="F203" s="257"/>
      <c r="G203" s="51"/>
    </row>
    <row r="204" spans="1:7" s="52" customFormat="1" ht="15" thickBot="1" x14ac:dyDescent="0.35">
      <c r="A204" s="111" t="s">
        <v>31</v>
      </c>
      <c r="B204" s="84">
        <f>SUM(B196:B203)</f>
        <v>48</v>
      </c>
      <c r="C204" s="111" t="str">
        <f xml:space="preserve"> setValueToTime(B204)</f>
        <v>4h</v>
      </c>
      <c r="D204" s="120"/>
      <c r="E204" s="258"/>
      <c r="F204" s="259"/>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50" t="s">
        <v>18</v>
      </c>
      <c r="F207" s="251"/>
      <c r="G207" s="46"/>
    </row>
    <row r="208" spans="1:7" s="52" customFormat="1" ht="27" x14ac:dyDescent="0.3">
      <c r="A208" s="48" t="s">
        <v>97</v>
      </c>
      <c r="B208" s="49">
        <v>25</v>
      </c>
      <c r="C208" s="152" t="str">
        <f xml:space="preserve"> IF(B208="","",setValueToTime(B208))</f>
        <v>2h5min</v>
      </c>
      <c r="D208" s="172" t="s">
        <v>160</v>
      </c>
      <c r="E208" s="252"/>
      <c r="F208" s="253"/>
      <c r="G208" s="51"/>
    </row>
    <row r="209" spans="1:7" s="52" customFormat="1" x14ac:dyDescent="0.3">
      <c r="A209" s="53" t="s">
        <v>95</v>
      </c>
      <c r="B209" s="54">
        <v>8</v>
      </c>
      <c r="C209" s="153" t="str">
        <f t="shared" ref="C209:C211" si="37" xml:space="preserve"> IF(B209="","",setValueToTime(B209))</f>
        <v>0h40min</v>
      </c>
      <c r="D209" s="175" t="s">
        <v>108</v>
      </c>
      <c r="E209" s="254"/>
      <c r="F209" s="255"/>
      <c r="G209" s="51"/>
    </row>
    <row r="210" spans="1:7" s="52" customFormat="1" x14ac:dyDescent="0.3">
      <c r="A210" s="53" t="s">
        <v>101</v>
      </c>
      <c r="B210" s="54">
        <v>2</v>
      </c>
      <c r="C210" s="153" t="str">
        <f t="shared" si="37"/>
        <v>0h10min</v>
      </c>
      <c r="D210" s="175" t="s">
        <v>161</v>
      </c>
      <c r="E210" s="254"/>
      <c r="F210" s="255"/>
      <c r="G210" s="51"/>
    </row>
    <row r="211" spans="1:7" s="52" customFormat="1" x14ac:dyDescent="0.3">
      <c r="A211" s="53" t="s">
        <v>91</v>
      </c>
      <c r="B211" s="54">
        <v>3</v>
      </c>
      <c r="C211" s="153" t="str">
        <f t="shared" si="37"/>
        <v>0h15min</v>
      </c>
      <c r="D211" s="175" t="s">
        <v>109</v>
      </c>
      <c r="E211" s="254"/>
      <c r="F211" s="255"/>
      <c r="G211" s="51"/>
    </row>
    <row r="212" spans="1:7" s="52" customFormat="1" x14ac:dyDescent="0.3">
      <c r="A212" s="54"/>
      <c r="B212" s="54"/>
      <c r="C212" s="154" t="str">
        <f t="shared" ref="C212:C215" si="38" xml:space="preserve"> IF(B212="","",setValueToTime(B212))</f>
        <v/>
      </c>
      <c r="D212" s="55"/>
      <c r="E212" s="254"/>
      <c r="F212" s="255"/>
      <c r="G212" s="51"/>
    </row>
    <row r="213" spans="1:7" s="52" customFormat="1" x14ac:dyDescent="0.3">
      <c r="A213" s="54"/>
      <c r="B213" s="54"/>
      <c r="C213" s="154" t="str">
        <f t="shared" si="38"/>
        <v/>
      </c>
      <c r="D213" s="55"/>
      <c r="E213" s="254"/>
      <c r="F213" s="255"/>
      <c r="G213" s="51"/>
    </row>
    <row r="214" spans="1:7" s="52" customFormat="1" x14ac:dyDescent="0.3">
      <c r="A214" s="54"/>
      <c r="B214" s="54"/>
      <c r="C214" s="154" t="str">
        <f t="shared" si="38"/>
        <v/>
      </c>
      <c r="D214" s="55"/>
      <c r="E214" s="254"/>
      <c r="F214" s="255"/>
      <c r="G214" s="51"/>
    </row>
    <row r="215" spans="1:7" s="52" customFormat="1" ht="15" thickBot="1" x14ac:dyDescent="0.35">
      <c r="A215" s="56"/>
      <c r="B215" s="56"/>
      <c r="C215" s="155" t="str">
        <f t="shared" si="38"/>
        <v/>
      </c>
      <c r="D215" s="57"/>
      <c r="E215" s="256"/>
      <c r="F215" s="257"/>
      <c r="G215" s="51"/>
    </row>
    <row r="216" spans="1:7" s="52" customFormat="1" ht="15" thickBot="1" x14ac:dyDescent="0.35">
      <c r="A216" s="111" t="s">
        <v>31</v>
      </c>
      <c r="B216" s="84">
        <f>SUM(B208:B215)</f>
        <v>38</v>
      </c>
      <c r="C216" s="111" t="str">
        <f xml:space="preserve"> setValueToTime(B216)</f>
        <v>3h10min</v>
      </c>
      <c r="D216" s="120"/>
      <c r="E216" s="258"/>
      <c r="F216" s="259"/>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50" t="s">
        <v>18</v>
      </c>
      <c r="F219" s="251"/>
      <c r="G219" s="46"/>
    </row>
    <row r="220" spans="1:7" s="52" customFormat="1" ht="27" x14ac:dyDescent="0.3">
      <c r="A220" s="48" t="s">
        <v>96</v>
      </c>
      <c r="B220" s="49">
        <v>10</v>
      </c>
      <c r="C220" s="152" t="str">
        <f xml:space="preserve"> IF(B220="","",setValueToTime(B220))</f>
        <v>0h50min</v>
      </c>
      <c r="D220" s="172" t="s">
        <v>158</v>
      </c>
      <c r="E220" s="252"/>
      <c r="F220" s="253"/>
      <c r="G220" s="51"/>
    </row>
    <row r="221" spans="1:7" s="52" customFormat="1" ht="27" x14ac:dyDescent="0.3">
      <c r="A221" s="53" t="s">
        <v>92</v>
      </c>
      <c r="B221" s="54">
        <v>20</v>
      </c>
      <c r="C221" s="153" t="str">
        <f t="shared" ref="C221:C224" si="39" xml:space="preserve"> IF(B221="","",setValueToTime(B221))</f>
        <v>1h40min</v>
      </c>
      <c r="D221" s="175" t="s">
        <v>159</v>
      </c>
      <c r="E221" s="254"/>
      <c r="F221" s="255"/>
      <c r="G221" s="51"/>
    </row>
    <row r="222" spans="1:7" s="52" customFormat="1" x14ac:dyDescent="0.3">
      <c r="A222" s="53" t="s">
        <v>95</v>
      </c>
      <c r="B222" s="54">
        <v>3</v>
      </c>
      <c r="C222" s="153" t="str">
        <f t="shared" si="39"/>
        <v>0h15min</v>
      </c>
      <c r="D222" s="175" t="s">
        <v>108</v>
      </c>
      <c r="E222" s="254"/>
      <c r="F222" s="255"/>
      <c r="G222" s="51"/>
    </row>
    <row r="223" spans="1:7" s="52" customFormat="1" x14ac:dyDescent="0.3">
      <c r="A223" s="53" t="s">
        <v>101</v>
      </c>
      <c r="B223" s="54">
        <v>2</v>
      </c>
      <c r="C223" s="153" t="str">
        <f t="shared" si="39"/>
        <v>0h10min</v>
      </c>
      <c r="D223" s="175" t="s">
        <v>161</v>
      </c>
      <c r="E223" s="254"/>
      <c r="F223" s="255"/>
      <c r="G223" s="51"/>
    </row>
    <row r="224" spans="1:7" s="52" customFormat="1" x14ac:dyDescent="0.3">
      <c r="A224" s="53" t="s">
        <v>91</v>
      </c>
      <c r="B224" s="54">
        <v>3</v>
      </c>
      <c r="C224" s="153" t="str">
        <f t="shared" si="39"/>
        <v>0h15min</v>
      </c>
      <c r="D224" s="175" t="s">
        <v>109</v>
      </c>
      <c r="E224" s="254"/>
      <c r="F224" s="255"/>
      <c r="G224" s="51"/>
    </row>
    <row r="225" spans="1:7" s="52" customFormat="1" x14ac:dyDescent="0.3">
      <c r="A225" s="54"/>
      <c r="B225" s="54"/>
      <c r="C225" s="154" t="str">
        <f t="shared" ref="C225:C227" si="40" xml:space="preserve"> IF(B225="","",setValueToTime(B225))</f>
        <v/>
      </c>
      <c r="D225" s="55"/>
      <c r="E225" s="254"/>
      <c r="F225" s="255"/>
      <c r="G225" s="51"/>
    </row>
    <row r="226" spans="1:7" s="52" customFormat="1" x14ac:dyDescent="0.3">
      <c r="A226" s="54"/>
      <c r="B226" s="54"/>
      <c r="C226" s="154" t="str">
        <f t="shared" si="40"/>
        <v/>
      </c>
      <c r="D226" s="55"/>
      <c r="E226" s="254"/>
      <c r="F226" s="255"/>
      <c r="G226" s="51"/>
    </row>
    <row r="227" spans="1:7" s="52" customFormat="1" ht="15" thickBot="1" x14ac:dyDescent="0.35">
      <c r="A227" s="56"/>
      <c r="B227" s="56"/>
      <c r="C227" s="155" t="str">
        <f t="shared" si="40"/>
        <v/>
      </c>
      <c r="D227" s="57"/>
      <c r="E227" s="256"/>
      <c r="F227" s="257"/>
      <c r="G227" s="51"/>
    </row>
    <row r="228" spans="1:7" s="52" customFormat="1" ht="15" thickBot="1" x14ac:dyDescent="0.35">
      <c r="A228" s="111" t="s">
        <v>31</v>
      </c>
      <c r="B228" s="84">
        <f>SUM(B220:B227)</f>
        <v>38</v>
      </c>
      <c r="C228" s="111" t="str">
        <f xml:space="preserve"> setValueToTime(B228)</f>
        <v>3h10min</v>
      </c>
      <c r="D228" s="120"/>
      <c r="E228" s="258"/>
      <c r="F228" s="259"/>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50" t="s">
        <v>18</v>
      </c>
      <c r="F231" s="251"/>
      <c r="G231" s="46"/>
    </row>
    <row r="232" spans="1:7" s="52" customFormat="1" ht="27" x14ac:dyDescent="0.3">
      <c r="A232" s="48" t="s">
        <v>96</v>
      </c>
      <c r="B232" s="49">
        <v>33</v>
      </c>
      <c r="C232" s="152" t="str">
        <f xml:space="preserve"> IF(B232="","",setValueToTime(B232))</f>
        <v>2h45min</v>
      </c>
      <c r="D232" s="172" t="s">
        <v>158</v>
      </c>
      <c r="E232" s="252"/>
      <c r="F232" s="253"/>
      <c r="G232" s="51"/>
    </row>
    <row r="233" spans="1:7" s="52" customFormat="1" x14ac:dyDescent="0.3">
      <c r="A233" s="53" t="s">
        <v>95</v>
      </c>
      <c r="B233" s="54">
        <v>10</v>
      </c>
      <c r="C233" s="153" t="str">
        <f t="shared" ref="C233:C234" si="41" xml:space="preserve"> IF(B233="","",setValueToTime(B233))</f>
        <v>0h50min</v>
      </c>
      <c r="D233" s="175" t="s">
        <v>108</v>
      </c>
      <c r="E233" s="254"/>
      <c r="F233" s="255"/>
      <c r="G233" s="51"/>
    </row>
    <row r="234" spans="1:7" s="52" customFormat="1" x14ac:dyDescent="0.3">
      <c r="A234" s="53" t="s">
        <v>101</v>
      </c>
      <c r="B234" s="54">
        <v>2</v>
      </c>
      <c r="C234" s="153" t="str">
        <f t="shared" si="41"/>
        <v>0h10min</v>
      </c>
      <c r="D234" s="175" t="s">
        <v>161</v>
      </c>
      <c r="E234" s="254"/>
      <c r="F234" s="255"/>
      <c r="G234" s="51"/>
    </row>
    <row r="235" spans="1:7" s="52" customFormat="1" x14ac:dyDescent="0.3">
      <c r="A235" s="53" t="s">
        <v>91</v>
      </c>
      <c r="B235" s="54">
        <v>3</v>
      </c>
      <c r="C235" s="153" t="str">
        <f t="shared" ref="C235" si="42" xml:space="preserve"> IF(B235="","",setValueToTime(B235))</f>
        <v>0h15min</v>
      </c>
      <c r="D235" s="175" t="s">
        <v>109</v>
      </c>
      <c r="E235" s="254"/>
      <c r="F235" s="255"/>
      <c r="G235" s="51"/>
    </row>
    <row r="236" spans="1:7" s="52" customFormat="1" x14ac:dyDescent="0.3">
      <c r="A236" s="54"/>
      <c r="B236" s="54"/>
      <c r="C236" s="154" t="str">
        <f t="shared" ref="C236:C239" si="43" xml:space="preserve"> IF(B236="","",setValueToTime(B236))</f>
        <v/>
      </c>
      <c r="D236" s="55"/>
      <c r="E236" s="254"/>
      <c r="F236" s="255"/>
      <c r="G236" s="51"/>
    </row>
    <row r="237" spans="1:7" s="52" customFormat="1" x14ac:dyDescent="0.3">
      <c r="A237" s="54"/>
      <c r="B237" s="54"/>
      <c r="C237" s="154" t="str">
        <f t="shared" si="43"/>
        <v/>
      </c>
      <c r="D237" s="55"/>
      <c r="E237" s="254"/>
      <c r="F237" s="255"/>
      <c r="G237" s="51"/>
    </row>
    <row r="238" spans="1:7" s="52" customFormat="1" x14ac:dyDescent="0.3">
      <c r="A238" s="54"/>
      <c r="B238" s="54"/>
      <c r="C238" s="154" t="str">
        <f t="shared" si="43"/>
        <v/>
      </c>
      <c r="D238" s="55"/>
      <c r="E238" s="254"/>
      <c r="F238" s="255"/>
      <c r="G238" s="51"/>
    </row>
    <row r="239" spans="1:7" s="52" customFormat="1" ht="15" thickBot="1" x14ac:dyDescent="0.35">
      <c r="A239" s="56"/>
      <c r="B239" s="56"/>
      <c r="C239" s="155" t="str">
        <f t="shared" si="43"/>
        <v/>
      </c>
      <c r="D239" s="57"/>
      <c r="E239" s="256"/>
      <c r="F239" s="257"/>
      <c r="G239" s="51"/>
    </row>
    <row r="240" spans="1:7" s="52" customFormat="1" ht="15" thickBot="1" x14ac:dyDescent="0.35">
      <c r="A240" s="111" t="s">
        <v>31</v>
      </c>
      <c r="B240" s="84">
        <f>SUM(B232:B239)</f>
        <v>48</v>
      </c>
      <c r="C240" s="111" t="str">
        <f xml:space="preserve"> setValueToTime(B240)</f>
        <v>4h</v>
      </c>
      <c r="D240" s="120"/>
      <c r="E240" s="258"/>
      <c r="F240" s="259"/>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50" t="s">
        <v>18</v>
      </c>
      <c r="F243" s="251"/>
      <c r="G243" s="46"/>
    </row>
    <row r="244" spans="1:7" s="52" customFormat="1" ht="27.75" thickBot="1" x14ac:dyDescent="0.35">
      <c r="A244" s="48" t="s">
        <v>101</v>
      </c>
      <c r="B244" s="49">
        <v>22</v>
      </c>
      <c r="C244" s="152" t="str">
        <f xml:space="preserve"> IF(B244="","",setValueToTime(B244))</f>
        <v>1h50min</v>
      </c>
      <c r="D244" s="172" t="s">
        <v>113</v>
      </c>
      <c r="E244" s="252"/>
      <c r="F244" s="253"/>
      <c r="G244" s="51"/>
    </row>
    <row r="245" spans="1:7" s="52" customFormat="1" ht="27" x14ac:dyDescent="0.3">
      <c r="A245" s="53" t="s">
        <v>96</v>
      </c>
      <c r="B245" s="54">
        <v>5</v>
      </c>
      <c r="C245" s="153" t="str">
        <f t="shared" ref="C245" si="44" xml:space="preserve"> IF(B245="","",setValueToTime(B245))</f>
        <v>0h25min</v>
      </c>
      <c r="D245" s="172" t="s">
        <v>158</v>
      </c>
      <c r="E245" s="254"/>
      <c r="F245" s="255"/>
      <c r="G245" s="51"/>
    </row>
    <row r="246" spans="1:7" s="52" customFormat="1" x14ac:dyDescent="0.3">
      <c r="A246" s="53" t="s">
        <v>95</v>
      </c>
      <c r="B246" s="54">
        <v>8</v>
      </c>
      <c r="C246" s="153" t="str">
        <f t="shared" ref="C246" si="45" xml:space="preserve"> IF(B246="","",setValueToTime(B246))</f>
        <v>0h40min</v>
      </c>
      <c r="D246" s="175" t="s">
        <v>108</v>
      </c>
      <c r="E246" s="254"/>
      <c r="F246" s="255"/>
      <c r="G246" s="51"/>
    </row>
    <row r="247" spans="1:7" s="52" customFormat="1" x14ac:dyDescent="0.3">
      <c r="A247" s="53" t="s">
        <v>91</v>
      </c>
      <c r="B247" s="54">
        <v>3</v>
      </c>
      <c r="C247" s="153" t="str">
        <f t="shared" ref="C247" si="46" xml:space="preserve"> IF(B247="","",setValueToTime(B247))</f>
        <v>0h15min</v>
      </c>
      <c r="D247" s="175" t="s">
        <v>109</v>
      </c>
      <c r="E247" s="254"/>
      <c r="F247" s="255"/>
      <c r="G247" s="51"/>
    </row>
    <row r="248" spans="1:7" s="52" customFormat="1" x14ac:dyDescent="0.3">
      <c r="A248" s="54"/>
      <c r="B248" s="54"/>
      <c r="C248" s="154" t="str">
        <f t="shared" ref="C248:C251" si="47" xml:space="preserve"> IF(B248="","",setValueToTime(B248))</f>
        <v/>
      </c>
      <c r="D248" s="55"/>
      <c r="E248" s="254"/>
      <c r="F248" s="255"/>
      <c r="G248" s="51"/>
    </row>
    <row r="249" spans="1:7" s="52" customFormat="1" x14ac:dyDescent="0.3">
      <c r="A249" s="54"/>
      <c r="B249" s="54"/>
      <c r="C249" s="154" t="str">
        <f t="shared" si="47"/>
        <v/>
      </c>
      <c r="D249" s="55"/>
      <c r="E249" s="254"/>
      <c r="F249" s="255"/>
      <c r="G249" s="51"/>
    </row>
    <row r="250" spans="1:7" s="52" customFormat="1" x14ac:dyDescent="0.3">
      <c r="A250" s="54"/>
      <c r="B250" s="54"/>
      <c r="C250" s="154" t="str">
        <f t="shared" si="47"/>
        <v/>
      </c>
      <c r="D250" s="55"/>
      <c r="E250" s="254"/>
      <c r="F250" s="255"/>
      <c r="G250" s="51"/>
    </row>
    <row r="251" spans="1:7" s="52" customFormat="1" ht="15" thickBot="1" x14ac:dyDescent="0.35">
      <c r="A251" s="56"/>
      <c r="B251" s="56"/>
      <c r="C251" s="155" t="str">
        <f t="shared" si="47"/>
        <v/>
      </c>
      <c r="D251" s="57"/>
      <c r="E251" s="256"/>
      <c r="F251" s="257"/>
      <c r="G251" s="51"/>
    </row>
    <row r="252" spans="1:7" s="52" customFormat="1" ht="15" thickBot="1" x14ac:dyDescent="0.35">
      <c r="A252" s="111" t="s">
        <v>31</v>
      </c>
      <c r="B252" s="84">
        <f>SUM(B244:B251)</f>
        <v>38</v>
      </c>
      <c r="C252" s="111" t="str">
        <f xml:space="preserve"> setValueToTime(B252)</f>
        <v>3h10min</v>
      </c>
      <c r="D252" s="120"/>
      <c r="E252" s="258"/>
      <c r="F252" s="259"/>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50" t="s">
        <v>18</v>
      </c>
      <c r="F255" s="251"/>
      <c r="G255" s="46"/>
    </row>
    <row r="256" spans="1:7" s="52" customFormat="1" ht="27" x14ac:dyDescent="0.3">
      <c r="A256" s="48" t="s">
        <v>103</v>
      </c>
      <c r="B256" s="49">
        <v>6</v>
      </c>
      <c r="C256" s="152" t="str">
        <f xml:space="preserve"> IF(B256="","",setValueToTime(B256))</f>
        <v>0h30min</v>
      </c>
      <c r="D256" s="172" t="s">
        <v>156</v>
      </c>
      <c r="E256" s="252"/>
      <c r="F256" s="253"/>
      <c r="G256" s="51"/>
    </row>
    <row r="257" spans="1:7" s="52" customFormat="1" x14ac:dyDescent="0.3">
      <c r="A257" s="53" t="s">
        <v>94</v>
      </c>
      <c r="B257" s="54">
        <v>29</v>
      </c>
      <c r="C257" s="153" t="str">
        <f t="shared" ref="C257" si="48" xml:space="preserve"> IF(B257="","",setValueToTime(B257))</f>
        <v>2h25min</v>
      </c>
      <c r="D257" s="175" t="s">
        <v>157</v>
      </c>
      <c r="E257" s="254"/>
      <c r="F257" s="255"/>
      <c r="G257" s="51"/>
    </row>
    <row r="258" spans="1:7" s="52" customFormat="1" x14ac:dyDescent="0.3">
      <c r="A258" s="53" t="s">
        <v>91</v>
      </c>
      <c r="B258" s="54">
        <v>3</v>
      </c>
      <c r="C258" s="153" t="str">
        <f t="shared" ref="C258" si="49" xml:space="preserve"> IF(B258="","",setValueToTime(B258))</f>
        <v>0h15min</v>
      </c>
      <c r="D258" s="175" t="s">
        <v>109</v>
      </c>
      <c r="E258" s="254"/>
      <c r="F258" s="255"/>
      <c r="G258" s="51"/>
    </row>
    <row r="259" spans="1:7" s="52" customFormat="1" x14ac:dyDescent="0.3">
      <c r="A259" s="53"/>
      <c r="B259" s="54"/>
      <c r="C259" s="153"/>
      <c r="D259" s="55"/>
      <c r="E259" s="254"/>
      <c r="F259" s="255"/>
      <c r="G259" s="51"/>
    </row>
    <row r="260" spans="1:7" s="52" customFormat="1" x14ac:dyDescent="0.3">
      <c r="A260" s="54"/>
      <c r="B260" s="54"/>
      <c r="C260" s="154" t="str">
        <f t="shared" ref="C260:C263" si="50" xml:space="preserve"> IF(B260="","",setValueToTime(B260))</f>
        <v/>
      </c>
      <c r="D260" s="55"/>
      <c r="E260" s="254"/>
      <c r="F260" s="255"/>
      <c r="G260" s="51"/>
    </row>
    <row r="261" spans="1:7" s="52" customFormat="1" x14ac:dyDescent="0.3">
      <c r="A261" s="54"/>
      <c r="B261" s="54"/>
      <c r="C261" s="154" t="str">
        <f t="shared" si="50"/>
        <v/>
      </c>
      <c r="D261" s="55"/>
      <c r="E261" s="254"/>
      <c r="F261" s="255"/>
      <c r="G261" s="51"/>
    </row>
    <row r="262" spans="1:7" s="52" customFormat="1" x14ac:dyDescent="0.3">
      <c r="A262" s="54"/>
      <c r="B262" s="54"/>
      <c r="C262" s="154" t="str">
        <f t="shared" si="50"/>
        <v/>
      </c>
      <c r="D262" s="55"/>
      <c r="E262" s="254"/>
      <c r="F262" s="255"/>
      <c r="G262" s="51"/>
    </row>
    <row r="263" spans="1:7" s="52" customFormat="1" ht="15" thickBot="1" x14ac:dyDescent="0.35">
      <c r="A263" s="56"/>
      <c r="B263" s="56"/>
      <c r="C263" s="155" t="str">
        <f t="shared" si="50"/>
        <v/>
      </c>
      <c r="D263" s="57"/>
      <c r="E263" s="256"/>
      <c r="F263" s="257"/>
      <c r="G263" s="51"/>
    </row>
    <row r="264" spans="1:7" s="52" customFormat="1" ht="15" thickBot="1" x14ac:dyDescent="0.35">
      <c r="A264" s="111" t="s">
        <v>31</v>
      </c>
      <c r="B264" s="84">
        <f>SUM(B256:B263)</f>
        <v>38</v>
      </c>
      <c r="C264" s="111" t="str">
        <f xml:space="preserve"> setValueToTime(B264)</f>
        <v>3h10min</v>
      </c>
      <c r="D264" s="120"/>
      <c r="E264" s="258"/>
      <c r="F264" s="259"/>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50" t="s">
        <v>18</v>
      </c>
      <c r="F267" s="251"/>
      <c r="G267" s="46"/>
    </row>
    <row r="268" spans="1:7" s="52" customFormat="1" x14ac:dyDescent="0.3">
      <c r="A268" s="48" t="s">
        <v>90</v>
      </c>
      <c r="B268" s="49">
        <v>20</v>
      </c>
      <c r="C268" s="152" t="str">
        <f xml:space="preserve"> IF(B268="","",setValueToTime(B268))</f>
        <v>1h40min</v>
      </c>
      <c r="D268" s="175" t="s">
        <v>155</v>
      </c>
      <c r="E268" s="252"/>
      <c r="F268" s="253"/>
      <c r="G268" s="51"/>
    </row>
    <row r="269" spans="1:7" s="52" customFormat="1" ht="27" x14ac:dyDescent="0.3">
      <c r="A269" s="53" t="s">
        <v>89</v>
      </c>
      <c r="B269" s="54">
        <v>10</v>
      </c>
      <c r="C269" s="153" t="str">
        <f t="shared" ref="C269:C271" si="51" xml:space="preserve"> IF(B269="","",setValueToTime(B269))</f>
        <v>0h50min</v>
      </c>
      <c r="D269" s="175" t="s">
        <v>115</v>
      </c>
      <c r="E269" s="254"/>
      <c r="F269" s="255"/>
      <c r="G269" s="51"/>
    </row>
    <row r="270" spans="1:7" s="52" customFormat="1" x14ac:dyDescent="0.3">
      <c r="A270" s="53" t="s">
        <v>95</v>
      </c>
      <c r="B270" s="54">
        <v>5</v>
      </c>
      <c r="C270" s="153" t="str">
        <f t="shared" si="51"/>
        <v>0h25min</v>
      </c>
      <c r="D270" s="175" t="s">
        <v>116</v>
      </c>
      <c r="E270" s="254"/>
      <c r="F270" s="255"/>
      <c r="G270" s="51"/>
    </row>
    <row r="271" spans="1:7" s="52" customFormat="1" x14ac:dyDescent="0.3">
      <c r="A271" s="53" t="s">
        <v>91</v>
      </c>
      <c r="B271" s="54">
        <v>3</v>
      </c>
      <c r="C271" s="153" t="str">
        <f t="shared" si="51"/>
        <v>0h15min</v>
      </c>
      <c r="D271" s="175" t="s">
        <v>109</v>
      </c>
      <c r="E271" s="254"/>
      <c r="F271" s="255"/>
      <c r="G271" s="51"/>
    </row>
    <row r="272" spans="1:7" s="52" customFormat="1" x14ac:dyDescent="0.3">
      <c r="A272" s="54"/>
      <c r="B272" s="54"/>
      <c r="C272" s="154" t="str">
        <f t="shared" ref="C272:C275" si="52" xml:space="preserve"> IF(B272="","",setValueToTime(B272))</f>
        <v/>
      </c>
      <c r="D272" s="55"/>
      <c r="E272" s="254"/>
      <c r="F272" s="255"/>
      <c r="G272" s="51"/>
    </row>
    <row r="273" spans="1:7" s="52" customFormat="1" x14ac:dyDescent="0.3">
      <c r="A273" s="54"/>
      <c r="B273" s="54"/>
      <c r="C273" s="154" t="str">
        <f t="shared" si="52"/>
        <v/>
      </c>
      <c r="D273" s="55"/>
      <c r="E273" s="254"/>
      <c r="F273" s="255"/>
      <c r="G273" s="51"/>
    </row>
    <row r="274" spans="1:7" s="52" customFormat="1" x14ac:dyDescent="0.3">
      <c r="A274" s="54"/>
      <c r="B274" s="54"/>
      <c r="C274" s="154" t="str">
        <f t="shared" si="52"/>
        <v/>
      </c>
      <c r="D274" s="55"/>
      <c r="E274" s="254"/>
      <c r="F274" s="255"/>
      <c r="G274" s="51"/>
    </row>
    <row r="275" spans="1:7" s="52" customFormat="1" ht="15" thickBot="1" x14ac:dyDescent="0.35">
      <c r="A275" s="56"/>
      <c r="B275" s="56"/>
      <c r="C275" s="155" t="str">
        <f t="shared" si="52"/>
        <v/>
      </c>
      <c r="D275" s="57"/>
      <c r="E275" s="256"/>
      <c r="F275" s="257"/>
      <c r="G275" s="51"/>
    </row>
    <row r="276" spans="1:7" s="52" customFormat="1" ht="15" thickBot="1" x14ac:dyDescent="0.35">
      <c r="A276" s="111" t="s">
        <v>31</v>
      </c>
      <c r="B276" s="84">
        <f>SUM(B268:B275)</f>
        <v>38</v>
      </c>
      <c r="C276" s="111" t="str">
        <f xml:space="preserve"> setValueToTime(B276)</f>
        <v>3h10min</v>
      </c>
      <c r="D276" s="120"/>
      <c r="E276" s="258"/>
      <c r="F276" s="259"/>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50" t="s">
        <v>18</v>
      </c>
      <c r="F279" s="251"/>
      <c r="G279" s="46"/>
    </row>
    <row r="280" spans="1:7" s="52" customFormat="1" x14ac:dyDescent="0.3">
      <c r="A280" s="48" t="s">
        <v>92</v>
      </c>
      <c r="B280" s="49">
        <v>25</v>
      </c>
      <c r="C280" s="152" t="str">
        <f xml:space="preserve"> IF(B280="","",setValueToTime(B280))</f>
        <v>2h5min</v>
      </c>
      <c r="D280" s="175" t="s">
        <v>169</v>
      </c>
      <c r="E280" s="252"/>
      <c r="F280" s="253"/>
      <c r="G280" s="51"/>
    </row>
    <row r="281" spans="1:7" s="52" customFormat="1" x14ac:dyDescent="0.3">
      <c r="A281" s="53" t="s">
        <v>90</v>
      </c>
      <c r="B281" s="54">
        <v>10</v>
      </c>
      <c r="C281" s="153" t="str">
        <f t="shared" ref="C281" si="53" xml:space="preserve"> IF(B281="","",setValueToTime(B281))</f>
        <v>0h50min</v>
      </c>
      <c r="D281" s="175" t="s">
        <v>114</v>
      </c>
      <c r="E281" s="254"/>
      <c r="F281" s="255"/>
      <c r="G281" s="51"/>
    </row>
    <row r="282" spans="1:7" s="52" customFormat="1" x14ac:dyDescent="0.3">
      <c r="A282" s="174" t="s">
        <v>91</v>
      </c>
      <c r="B282" s="54">
        <v>3</v>
      </c>
      <c r="C282" s="153" t="str">
        <f xml:space="preserve"> IF(B282="","",setValueToTime(B282))</f>
        <v>0h15min</v>
      </c>
      <c r="D282" s="175" t="s">
        <v>109</v>
      </c>
      <c r="E282" s="254"/>
      <c r="F282" s="255"/>
      <c r="G282" s="51"/>
    </row>
    <row r="283" spans="1:7" s="52" customFormat="1" x14ac:dyDescent="0.3">
      <c r="A283" s="53"/>
      <c r="B283" s="54"/>
      <c r="C283" s="153" t="str">
        <f t="shared" ref="C283:C287" si="54" xml:space="preserve"> IF(B283="","",setValueToTime(B283))</f>
        <v/>
      </c>
      <c r="D283" s="55"/>
      <c r="E283" s="254"/>
      <c r="F283" s="255"/>
      <c r="G283" s="51"/>
    </row>
    <row r="284" spans="1:7" s="52" customFormat="1" x14ac:dyDescent="0.3">
      <c r="A284" s="54"/>
      <c r="B284" s="54"/>
      <c r="C284" s="154" t="str">
        <f t="shared" si="54"/>
        <v/>
      </c>
      <c r="D284" s="55"/>
      <c r="E284" s="254"/>
      <c r="F284" s="255"/>
      <c r="G284" s="51"/>
    </row>
    <row r="285" spans="1:7" s="52" customFormat="1" x14ac:dyDescent="0.3">
      <c r="A285" s="54"/>
      <c r="B285" s="54"/>
      <c r="C285" s="154" t="str">
        <f t="shared" si="54"/>
        <v/>
      </c>
      <c r="D285" s="55"/>
      <c r="E285" s="254"/>
      <c r="F285" s="255"/>
      <c r="G285" s="51"/>
    </row>
    <row r="286" spans="1:7" s="52" customFormat="1" x14ac:dyDescent="0.3">
      <c r="A286" s="54"/>
      <c r="B286" s="54"/>
      <c r="C286" s="154" t="str">
        <f t="shared" si="54"/>
        <v/>
      </c>
      <c r="D286" s="55"/>
      <c r="E286" s="254"/>
      <c r="F286" s="255"/>
      <c r="G286" s="51"/>
    </row>
    <row r="287" spans="1:7" s="52" customFormat="1" ht="15" thickBot="1" x14ac:dyDescent="0.35">
      <c r="A287" s="56"/>
      <c r="B287" s="56"/>
      <c r="C287" s="155" t="str">
        <f t="shared" si="54"/>
        <v/>
      </c>
      <c r="D287" s="57"/>
      <c r="E287" s="256"/>
      <c r="F287" s="257"/>
      <c r="G287" s="51"/>
    </row>
    <row r="288" spans="1:7" s="52" customFormat="1" ht="15" thickBot="1" x14ac:dyDescent="0.35">
      <c r="A288" s="111" t="s">
        <v>31</v>
      </c>
      <c r="B288" s="84">
        <f>SUM(B280:B287)</f>
        <v>38</v>
      </c>
      <c r="C288" s="111" t="str">
        <f xml:space="preserve"> setValueToTime(B288)</f>
        <v>3h10min</v>
      </c>
      <c r="D288" s="120"/>
      <c r="E288" s="258"/>
      <c r="F288" s="259"/>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50" t="s">
        <v>18</v>
      </c>
      <c r="F291" s="251"/>
      <c r="G291" s="46"/>
    </row>
    <row r="292" spans="1:7" s="52" customFormat="1" x14ac:dyDescent="0.3">
      <c r="A292" s="48" t="s">
        <v>89</v>
      </c>
      <c r="B292" s="49">
        <v>6</v>
      </c>
      <c r="C292" s="152" t="str">
        <f xml:space="preserve"> IF(B292="","",setValueToTime(B292))</f>
        <v>0h30min</v>
      </c>
      <c r="D292" s="172" t="s">
        <v>117</v>
      </c>
      <c r="E292" s="252"/>
      <c r="F292" s="253"/>
      <c r="G292" s="51"/>
    </row>
    <row r="293" spans="1:7" s="52" customFormat="1" x14ac:dyDescent="0.3">
      <c r="A293" s="174" t="s">
        <v>90</v>
      </c>
      <c r="B293" s="54">
        <v>15</v>
      </c>
      <c r="C293" s="153" t="str">
        <f t="shared" ref="C293:C295" si="55" xml:space="preserve"> IF(B293="","",setValueToTime(B293))</f>
        <v>1h15min</v>
      </c>
      <c r="D293" s="175" t="s">
        <v>118</v>
      </c>
      <c r="E293" s="254"/>
      <c r="F293" s="255"/>
      <c r="G293" s="51"/>
    </row>
    <row r="294" spans="1:7" s="52" customFormat="1" x14ac:dyDescent="0.3">
      <c r="A294" s="174" t="s">
        <v>103</v>
      </c>
      <c r="B294" s="54">
        <v>10</v>
      </c>
      <c r="C294" s="153" t="str">
        <f t="shared" si="55"/>
        <v>0h50min</v>
      </c>
      <c r="D294" s="175" t="s">
        <v>119</v>
      </c>
      <c r="E294" s="254"/>
      <c r="F294" s="255"/>
      <c r="G294" s="51"/>
    </row>
    <row r="295" spans="1:7" s="52" customFormat="1" x14ac:dyDescent="0.3">
      <c r="A295" s="174" t="s">
        <v>95</v>
      </c>
      <c r="B295" s="54">
        <v>17</v>
      </c>
      <c r="C295" s="153" t="str">
        <f t="shared" si="55"/>
        <v>1h25min</v>
      </c>
      <c r="D295" s="175" t="s">
        <v>120</v>
      </c>
      <c r="E295" s="254"/>
      <c r="F295" s="255"/>
      <c r="G295" s="51"/>
    </row>
    <row r="296" spans="1:7" s="52" customFormat="1" x14ac:dyDescent="0.3">
      <c r="A296" s="54"/>
      <c r="B296" s="54"/>
      <c r="C296" s="154" t="str">
        <f t="shared" ref="C296:C299" si="56" xml:space="preserve"> IF(B296="","",setValueToTime(B296))</f>
        <v/>
      </c>
      <c r="D296" s="55"/>
      <c r="E296" s="254"/>
      <c r="F296" s="255"/>
      <c r="G296" s="51"/>
    </row>
    <row r="297" spans="1:7" s="52" customFormat="1" x14ac:dyDescent="0.3">
      <c r="A297" s="54"/>
      <c r="B297" s="54"/>
      <c r="C297" s="154" t="str">
        <f t="shared" si="56"/>
        <v/>
      </c>
      <c r="D297" s="55"/>
      <c r="E297" s="254"/>
      <c r="F297" s="255"/>
      <c r="G297" s="51"/>
    </row>
    <row r="298" spans="1:7" s="52" customFormat="1" x14ac:dyDescent="0.3">
      <c r="A298" s="54"/>
      <c r="B298" s="54"/>
      <c r="C298" s="154" t="str">
        <f t="shared" si="56"/>
        <v/>
      </c>
      <c r="D298" s="55"/>
      <c r="E298" s="254"/>
      <c r="F298" s="255"/>
      <c r="G298" s="51"/>
    </row>
    <row r="299" spans="1:7" s="52" customFormat="1" ht="15" thickBot="1" x14ac:dyDescent="0.35">
      <c r="A299" s="56"/>
      <c r="B299" s="56"/>
      <c r="C299" s="155" t="str">
        <f t="shared" si="56"/>
        <v/>
      </c>
      <c r="D299" s="57"/>
      <c r="E299" s="256"/>
      <c r="F299" s="257"/>
      <c r="G299" s="51"/>
    </row>
    <row r="300" spans="1:7" s="52" customFormat="1" ht="15" thickBot="1" x14ac:dyDescent="0.35">
      <c r="A300" s="111" t="s">
        <v>31</v>
      </c>
      <c r="B300" s="84">
        <f>SUM(B292:B299)</f>
        <v>48</v>
      </c>
      <c r="C300" s="111" t="str">
        <f xml:space="preserve"> setValueToTime(B300)</f>
        <v>4h</v>
      </c>
      <c r="D300" s="120"/>
      <c r="E300" s="258"/>
      <c r="F300" s="259"/>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50" t="s">
        <v>18</v>
      </c>
      <c r="F303" s="251"/>
      <c r="G303" s="46"/>
    </row>
    <row r="304" spans="1:7" s="52" customFormat="1" x14ac:dyDescent="0.3">
      <c r="A304" s="173" t="s">
        <v>89</v>
      </c>
      <c r="B304" s="49">
        <v>12</v>
      </c>
      <c r="C304" s="152" t="str">
        <f xml:space="preserve"> IF(B304="","",setValueToTime(B304))</f>
        <v>1h</v>
      </c>
      <c r="D304" s="172" t="s">
        <v>121</v>
      </c>
      <c r="E304" s="252"/>
      <c r="F304" s="253"/>
      <c r="G304" s="51"/>
    </row>
    <row r="305" spans="1:7" s="52" customFormat="1" x14ac:dyDescent="0.3">
      <c r="A305" s="174" t="s">
        <v>89</v>
      </c>
      <c r="B305" s="54">
        <v>12</v>
      </c>
      <c r="C305" s="153" t="str">
        <f t="shared" ref="C305:C307" si="57" xml:space="preserve"> IF(B305="","",setValueToTime(B305))</f>
        <v>1h</v>
      </c>
      <c r="D305" s="175" t="s">
        <v>122</v>
      </c>
      <c r="E305" s="254"/>
      <c r="F305" s="255"/>
      <c r="G305" s="51"/>
    </row>
    <row r="306" spans="1:7" s="52" customFormat="1" x14ac:dyDescent="0.3">
      <c r="A306" s="53" t="s">
        <v>90</v>
      </c>
      <c r="B306" s="54">
        <v>11</v>
      </c>
      <c r="C306" s="153" t="str">
        <f t="shared" si="57"/>
        <v>0h55min</v>
      </c>
      <c r="D306" s="175" t="s">
        <v>123</v>
      </c>
      <c r="E306" s="254"/>
      <c r="F306" s="255"/>
      <c r="G306" s="51"/>
    </row>
    <row r="307" spans="1:7" s="52" customFormat="1" x14ac:dyDescent="0.3">
      <c r="A307" s="53" t="s">
        <v>91</v>
      </c>
      <c r="B307" s="54">
        <v>3</v>
      </c>
      <c r="C307" s="153" t="str">
        <f t="shared" si="57"/>
        <v>0h15min</v>
      </c>
      <c r="D307" s="175" t="s">
        <v>109</v>
      </c>
      <c r="E307" s="254"/>
      <c r="F307" s="255"/>
      <c r="G307" s="51"/>
    </row>
    <row r="308" spans="1:7" s="52" customFormat="1" x14ac:dyDescent="0.3">
      <c r="A308" s="54"/>
      <c r="B308" s="54"/>
      <c r="C308" s="154" t="str">
        <f t="shared" ref="C308:C311" si="58" xml:space="preserve"> IF(B308="","",setValueToTime(B308))</f>
        <v/>
      </c>
      <c r="D308" s="55"/>
      <c r="E308" s="254"/>
      <c r="F308" s="255"/>
      <c r="G308" s="51"/>
    </row>
    <row r="309" spans="1:7" s="52" customFormat="1" x14ac:dyDescent="0.3">
      <c r="A309" s="54"/>
      <c r="B309" s="54"/>
      <c r="C309" s="154" t="str">
        <f t="shared" si="58"/>
        <v/>
      </c>
      <c r="D309" s="55"/>
      <c r="E309" s="254"/>
      <c r="F309" s="255"/>
      <c r="G309" s="51"/>
    </row>
    <row r="310" spans="1:7" s="52" customFormat="1" x14ac:dyDescent="0.3">
      <c r="A310" s="54"/>
      <c r="B310" s="54"/>
      <c r="C310" s="154" t="str">
        <f t="shared" si="58"/>
        <v/>
      </c>
      <c r="D310" s="55"/>
      <c r="E310" s="254"/>
      <c r="F310" s="255"/>
      <c r="G310" s="51"/>
    </row>
    <row r="311" spans="1:7" s="52" customFormat="1" ht="15" thickBot="1" x14ac:dyDescent="0.35">
      <c r="A311" s="56"/>
      <c r="B311" s="56"/>
      <c r="C311" s="155" t="str">
        <f t="shared" si="58"/>
        <v/>
      </c>
      <c r="D311" s="57"/>
      <c r="E311" s="256"/>
      <c r="F311" s="257"/>
      <c r="G311" s="51"/>
    </row>
    <row r="312" spans="1:7" s="52" customFormat="1" ht="15" thickBot="1" x14ac:dyDescent="0.35">
      <c r="A312" s="111" t="s">
        <v>31</v>
      </c>
      <c r="B312" s="84">
        <f>SUM(B304:B311)</f>
        <v>38</v>
      </c>
      <c r="C312" s="111" t="str">
        <f xml:space="preserve"> setValueToTime(B312)</f>
        <v>3h10min</v>
      </c>
      <c r="D312" s="120"/>
      <c r="E312" s="258"/>
      <c r="F312" s="259"/>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38" priority="43" operator="greaterThan">
      <formula>60</formula>
    </cfRule>
  </conditionalFormatting>
  <conditionalFormatting sqref="B300">
    <cfRule type="cellIs" dxfId="37" priority="42" operator="greaterThan">
      <formula>60</formula>
    </cfRule>
  </conditionalFormatting>
  <conditionalFormatting sqref="B288">
    <cfRule type="cellIs" dxfId="36" priority="41" operator="greaterThan">
      <formula>60</formula>
    </cfRule>
  </conditionalFormatting>
  <conditionalFormatting sqref="B276">
    <cfRule type="cellIs" dxfId="35" priority="40" operator="greaterThan">
      <formula>60</formula>
    </cfRule>
  </conditionalFormatting>
  <conditionalFormatting sqref="B264">
    <cfRule type="cellIs" dxfId="34" priority="39" operator="greaterThan">
      <formula>60</formula>
    </cfRule>
  </conditionalFormatting>
  <conditionalFormatting sqref="B252">
    <cfRule type="cellIs" dxfId="33" priority="38" operator="greaterThan">
      <formula>60</formula>
    </cfRule>
  </conditionalFormatting>
  <conditionalFormatting sqref="B240">
    <cfRule type="cellIs" dxfId="32" priority="37" operator="greaterThan">
      <formula>60</formula>
    </cfRule>
  </conditionalFormatting>
  <conditionalFormatting sqref="B228">
    <cfRule type="cellIs" dxfId="31" priority="36" operator="greaterThan">
      <formula>60</formula>
    </cfRule>
  </conditionalFormatting>
  <conditionalFormatting sqref="B216">
    <cfRule type="cellIs" dxfId="30" priority="35" operator="greaterThan">
      <formula>60</formula>
    </cfRule>
  </conditionalFormatting>
  <conditionalFormatting sqref="B204">
    <cfRule type="cellIs" dxfId="29" priority="34" operator="greaterThan">
      <formula>60</formula>
    </cfRule>
  </conditionalFormatting>
  <conditionalFormatting sqref="B192">
    <cfRule type="cellIs" dxfId="28" priority="33" operator="greaterThan">
      <formula>60</formula>
    </cfRule>
  </conditionalFormatting>
  <conditionalFormatting sqref="B180">
    <cfRule type="cellIs" dxfId="27" priority="32" operator="greaterThan">
      <formula>60</formula>
    </cfRule>
  </conditionalFormatting>
  <conditionalFormatting sqref="B168">
    <cfRule type="cellIs" dxfId="26" priority="31" operator="greaterThan">
      <formula>60</formula>
    </cfRule>
  </conditionalFormatting>
  <conditionalFormatting sqref="B156">
    <cfRule type="cellIs" dxfId="25" priority="30" operator="greaterThan">
      <formula>60</formula>
    </cfRule>
  </conditionalFormatting>
  <conditionalFormatting sqref="B144">
    <cfRule type="cellIs" dxfId="24" priority="29" operator="greaterThan">
      <formula>60</formula>
    </cfRule>
  </conditionalFormatting>
  <conditionalFormatting sqref="B132">
    <cfRule type="cellIs" dxfId="23" priority="28" operator="greaterThan">
      <formula>60</formula>
    </cfRule>
  </conditionalFormatting>
  <conditionalFormatting sqref="B120">
    <cfRule type="cellIs" dxfId="22" priority="27" operator="greaterThan">
      <formula>60</formula>
    </cfRule>
  </conditionalFormatting>
  <conditionalFormatting sqref="B108">
    <cfRule type="cellIs" dxfId="21" priority="26" operator="greaterThan">
      <formula>60</formula>
    </cfRule>
  </conditionalFormatting>
  <conditionalFormatting sqref="B96">
    <cfRule type="cellIs" dxfId="20" priority="25" operator="greaterThan">
      <formula>60</formula>
    </cfRule>
  </conditionalFormatting>
  <conditionalFormatting sqref="B84">
    <cfRule type="cellIs" dxfId="19" priority="24" operator="greaterThan">
      <formula>60</formula>
    </cfRule>
  </conditionalFormatting>
  <conditionalFormatting sqref="B72">
    <cfRule type="cellIs" dxfId="18" priority="23" operator="greaterThan">
      <formula>60</formula>
    </cfRule>
  </conditionalFormatting>
  <conditionalFormatting sqref="B60">
    <cfRule type="cellIs" dxfId="17" priority="22" operator="greaterThan">
      <formula>60</formula>
    </cfRule>
  </conditionalFormatting>
  <conditionalFormatting sqref="B48">
    <cfRule type="cellIs" dxfId="16" priority="21" operator="greaterThan">
      <formula>60</formula>
    </cfRule>
  </conditionalFormatting>
  <conditionalFormatting sqref="B36">
    <cfRule type="cellIs" dxfId="15" priority="20" operator="greaterThan">
      <formula>60</formula>
    </cfRule>
  </conditionalFormatting>
  <conditionalFormatting sqref="B24">
    <cfRule type="cellIs" dxfId="14" priority="19" operator="greaterThan">
      <formula>60</formula>
    </cfRule>
  </conditionalFormatting>
  <conditionalFormatting sqref="B12">
    <cfRule type="cellIs" dxfId="1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16"/>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11</v>
      </c>
      <c r="C2" s="164"/>
      <c r="D2" s="157" t="s">
        <v>19</v>
      </c>
      <c r="E2" s="158" t="s">
        <v>84</v>
      </c>
      <c r="F2" s="159" t="s">
        <v>45</v>
      </c>
      <c r="G2" s="46"/>
    </row>
    <row r="3" spans="1:7" s="47" customFormat="1" ht="30" customHeight="1" thickBot="1" x14ac:dyDescent="0.3">
      <c r="A3" s="78" t="s">
        <v>5</v>
      </c>
      <c r="B3" s="161" t="s">
        <v>42</v>
      </c>
      <c r="C3" s="160">
        <v>38</v>
      </c>
      <c r="D3" s="78" t="s">
        <v>17</v>
      </c>
      <c r="E3" s="262" t="s">
        <v>18</v>
      </c>
      <c r="F3" s="263"/>
      <c r="G3" s="46"/>
    </row>
    <row r="4" spans="1:7" s="52" customFormat="1" ht="94.5" x14ac:dyDescent="0.3">
      <c r="A4" s="48" t="s">
        <v>4</v>
      </c>
      <c r="B4" s="49">
        <v>6</v>
      </c>
      <c r="C4" s="152" t="str">
        <f xml:space="preserve"> IF(B4="","",setValueToTime(B4))</f>
        <v>0h30min</v>
      </c>
      <c r="D4" s="172" t="s">
        <v>214</v>
      </c>
      <c r="E4" s="272" t="s">
        <v>213</v>
      </c>
      <c r="F4" s="273"/>
      <c r="G4" s="51"/>
    </row>
    <row r="5" spans="1:7" s="52" customFormat="1" ht="40.5" x14ac:dyDescent="0.3">
      <c r="A5" s="198" t="s">
        <v>98</v>
      </c>
      <c r="B5" s="199">
        <v>10</v>
      </c>
      <c r="C5" s="153" t="str">
        <f t="shared" ref="C5:C13" si="0" xml:space="preserve"> IF(B5="","",setValueToTime(B5))</f>
        <v>0h50min</v>
      </c>
      <c r="D5" s="201" t="s">
        <v>217</v>
      </c>
      <c r="E5" s="275"/>
      <c r="F5" s="276"/>
      <c r="G5" s="51"/>
    </row>
    <row r="6" spans="1:7" s="52" customFormat="1" ht="27" x14ac:dyDescent="0.3">
      <c r="A6" s="198" t="s">
        <v>95</v>
      </c>
      <c r="B6" s="199">
        <v>3</v>
      </c>
      <c r="C6" s="153" t="str">
        <f t="shared" si="0"/>
        <v>0h15min</v>
      </c>
      <c r="D6" s="201" t="s">
        <v>219</v>
      </c>
      <c r="E6" s="264" t="s">
        <v>218</v>
      </c>
      <c r="F6" s="265"/>
      <c r="G6" s="51"/>
    </row>
    <row r="7" spans="1:7" s="52" customFormat="1" ht="27" x14ac:dyDescent="0.3">
      <c r="A7" s="53" t="s">
        <v>96</v>
      </c>
      <c r="B7" s="54">
        <v>7</v>
      </c>
      <c r="C7" s="153" t="str">
        <f t="shared" si="0"/>
        <v>0h35min</v>
      </c>
      <c r="D7" s="175" t="s">
        <v>220</v>
      </c>
      <c r="E7" s="254"/>
      <c r="F7" s="255"/>
      <c r="G7" s="51"/>
    </row>
    <row r="8" spans="1:7" s="52" customFormat="1" ht="40.5" x14ac:dyDescent="0.3">
      <c r="A8" s="53" t="s">
        <v>102</v>
      </c>
      <c r="B8" s="54">
        <v>9</v>
      </c>
      <c r="C8" s="153" t="str">
        <f t="shared" si="0"/>
        <v>0h45min</v>
      </c>
      <c r="D8" s="175" t="s">
        <v>215</v>
      </c>
      <c r="E8" s="254"/>
      <c r="F8" s="255"/>
      <c r="G8" s="51"/>
    </row>
    <row r="9" spans="1:7" s="52" customFormat="1" x14ac:dyDescent="0.3">
      <c r="A9" s="53" t="s">
        <v>91</v>
      </c>
      <c r="B9" s="54">
        <v>3</v>
      </c>
      <c r="C9" s="153" t="str">
        <f t="shared" si="0"/>
        <v>0h15min</v>
      </c>
      <c r="D9" s="175" t="s">
        <v>178</v>
      </c>
      <c r="E9" s="254"/>
      <c r="F9" s="255"/>
      <c r="G9" s="51"/>
    </row>
    <row r="10" spans="1:7" s="52" customFormat="1" ht="40.5" x14ac:dyDescent="0.3">
      <c r="A10" s="54"/>
      <c r="B10" s="54"/>
      <c r="C10" s="154" t="str">
        <f t="shared" si="0"/>
        <v/>
      </c>
      <c r="D10" s="175" t="s">
        <v>216</v>
      </c>
      <c r="E10" s="254"/>
      <c r="F10" s="255"/>
      <c r="G10" s="51"/>
    </row>
    <row r="11" spans="1:7" s="52" customFormat="1" x14ac:dyDescent="0.3">
      <c r="A11" s="54"/>
      <c r="B11" s="54"/>
      <c r="C11" s="154" t="str">
        <f t="shared" si="0"/>
        <v/>
      </c>
      <c r="D11" s="55"/>
      <c r="E11" s="254"/>
      <c r="F11" s="255"/>
      <c r="G11" s="51"/>
    </row>
    <row r="12" spans="1:7" s="52" customFormat="1" x14ac:dyDescent="0.3">
      <c r="A12" s="54"/>
      <c r="B12" s="54"/>
      <c r="C12" s="154" t="str">
        <f t="shared" si="0"/>
        <v/>
      </c>
      <c r="D12" s="55"/>
      <c r="E12" s="254"/>
      <c r="F12" s="255"/>
      <c r="G12" s="51"/>
    </row>
    <row r="13" spans="1:7" s="52" customFormat="1" ht="15" thickBot="1" x14ac:dyDescent="0.35">
      <c r="A13" s="56"/>
      <c r="B13" s="56"/>
      <c r="C13" s="155" t="str">
        <f t="shared" si="0"/>
        <v/>
      </c>
      <c r="D13" s="57"/>
      <c r="E13" s="256"/>
      <c r="F13" s="257"/>
      <c r="G13" s="51"/>
    </row>
    <row r="14" spans="1:7" s="52" customFormat="1" ht="15" thickBot="1" x14ac:dyDescent="0.35">
      <c r="A14" s="162" t="s">
        <v>31</v>
      </c>
      <c r="B14" s="83">
        <f>SUM(B4:B13)</f>
        <v>38</v>
      </c>
      <c r="C14" s="162" t="str">
        <f xml:space="preserve"> setValueToTime(B14)</f>
        <v>3h10min</v>
      </c>
      <c r="D14" s="121"/>
      <c r="E14" s="260"/>
      <c r="F14" s="261"/>
      <c r="G14" s="51"/>
    </row>
    <row r="15" spans="1:7" s="59" customFormat="1" ht="15" thickBot="1" x14ac:dyDescent="0.35">
      <c r="A15" s="77"/>
      <c r="B15" s="77"/>
      <c r="C15" s="77"/>
      <c r="D15" s="77"/>
      <c r="E15" s="77"/>
      <c r="F15" s="77"/>
      <c r="G15" s="58"/>
    </row>
    <row r="16" spans="1:7" s="47" customFormat="1" ht="30" customHeight="1" thickBot="1" x14ac:dyDescent="0.3">
      <c r="A16" s="156" t="s">
        <v>16</v>
      </c>
      <c r="B16" s="164">
        <v>10</v>
      </c>
      <c r="C16" s="164"/>
      <c r="D16" s="157" t="s">
        <v>19</v>
      </c>
      <c r="E16" s="158" t="s">
        <v>84</v>
      </c>
      <c r="F16" s="159" t="s">
        <v>46</v>
      </c>
      <c r="G16" s="46"/>
    </row>
    <row r="17" spans="1:7" s="47" customFormat="1" ht="30" customHeight="1" thickBot="1" x14ac:dyDescent="0.3">
      <c r="A17" s="78" t="s">
        <v>5</v>
      </c>
      <c r="B17" s="161" t="s">
        <v>42</v>
      </c>
      <c r="C17" s="160">
        <v>48</v>
      </c>
      <c r="D17" s="78" t="s">
        <v>17</v>
      </c>
      <c r="E17" s="262" t="s">
        <v>18</v>
      </c>
      <c r="F17" s="263"/>
      <c r="G17" s="46"/>
    </row>
    <row r="18" spans="1:7" s="52" customFormat="1" ht="67.5" x14ac:dyDescent="0.3">
      <c r="A18" s="48" t="s">
        <v>97</v>
      </c>
      <c r="B18" s="49">
        <v>20</v>
      </c>
      <c r="C18" s="152" t="str">
        <f xml:space="preserve"> IF(B18="","",setValueToTime(B18))</f>
        <v>1h40min</v>
      </c>
      <c r="D18" s="172" t="s">
        <v>206</v>
      </c>
      <c r="E18" s="274"/>
      <c r="F18" s="274"/>
      <c r="G18" s="51"/>
    </row>
    <row r="19" spans="1:7" s="52" customFormat="1" ht="54" x14ac:dyDescent="0.3">
      <c r="A19" s="53" t="s">
        <v>98</v>
      </c>
      <c r="B19" s="54">
        <v>16</v>
      </c>
      <c r="C19" s="153" t="str">
        <f t="shared" ref="C19:C26" si="1" xml:space="preserve"> IF(B19="","",setValueToTime(B19))</f>
        <v>1h20min</v>
      </c>
      <c r="D19" s="175" t="s">
        <v>208</v>
      </c>
      <c r="E19" s="254"/>
      <c r="F19" s="255"/>
      <c r="G19" s="51"/>
    </row>
    <row r="20" spans="1:7" s="52" customFormat="1" ht="27" x14ac:dyDescent="0.3">
      <c r="A20" s="53" t="s">
        <v>95</v>
      </c>
      <c r="B20" s="54">
        <v>4</v>
      </c>
      <c r="C20" s="153" t="str">
        <f t="shared" si="1"/>
        <v>0h20min</v>
      </c>
      <c r="D20" s="175" t="s">
        <v>212</v>
      </c>
      <c r="E20" s="264" t="s">
        <v>207</v>
      </c>
      <c r="F20" s="265"/>
      <c r="G20" s="51"/>
    </row>
    <row r="21" spans="1:7" s="52" customFormat="1" x14ac:dyDescent="0.3">
      <c r="A21" s="53" t="s">
        <v>101</v>
      </c>
      <c r="B21" s="54">
        <v>3</v>
      </c>
      <c r="C21" s="153" t="str">
        <f t="shared" si="1"/>
        <v>0h15min</v>
      </c>
      <c r="D21" s="175" t="s">
        <v>209</v>
      </c>
      <c r="E21" s="254"/>
      <c r="F21" s="255"/>
      <c r="G21" s="51"/>
    </row>
    <row r="22" spans="1:7" s="52" customFormat="1" x14ac:dyDescent="0.3">
      <c r="A22" s="53" t="s">
        <v>91</v>
      </c>
      <c r="B22" s="54">
        <v>3</v>
      </c>
      <c r="C22" s="153" t="str">
        <f t="shared" si="1"/>
        <v>0h15min</v>
      </c>
      <c r="D22" s="175" t="s">
        <v>178</v>
      </c>
      <c r="E22" s="254"/>
      <c r="F22" s="255"/>
      <c r="G22" s="51"/>
    </row>
    <row r="23" spans="1:7" s="52" customFormat="1" x14ac:dyDescent="0.3">
      <c r="A23" s="54" t="s">
        <v>4</v>
      </c>
      <c r="B23" s="54">
        <v>2</v>
      </c>
      <c r="C23" s="154" t="str">
        <f t="shared" si="1"/>
        <v>0h10min</v>
      </c>
      <c r="D23" s="175" t="s">
        <v>210</v>
      </c>
      <c r="E23" s="254"/>
      <c r="F23" s="255"/>
      <c r="G23" s="51"/>
    </row>
    <row r="24" spans="1:7" s="52" customFormat="1" ht="54" x14ac:dyDescent="0.3">
      <c r="A24" s="54"/>
      <c r="B24" s="54"/>
      <c r="C24" s="154" t="str">
        <f t="shared" si="1"/>
        <v/>
      </c>
      <c r="D24" s="175" t="s">
        <v>211</v>
      </c>
      <c r="E24" s="254"/>
      <c r="F24" s="255"/>
      <c r="G24" s="51"/>
    </row>
    <row r="25" spans="1:7" s="52" customFormat="1" x14ac:dyDescent="0.3">
      <c r="A25" s="54"/>
      <c r="B25" s="54"/>
      <c r="C25" s="154" t="str">
        <f t="shared" si="1"/>
        <v/>
      </c>
      <c r="D25" s="55"/>
      <c r="E25" s="254"/>
      <c r="F25" s="255"/>
      <c r="G25" s="51"/>
    </row>
    <row r="26" spans="1:7" s="52" customFormat="1" ht="15" thickBot="1" x14ac:dyDescent="0.35">
      <c r="A26" s="56"/>
      <c r="B26" s="56"/>
      <c r="C26" s="155" t="str">
        <f t="shared" si="1"/>
        <v/>
      </c>
      <c r="D26" s="57"/>
      <c r="E26" s="256"/>
      <c r="F26" s="257"/>
      <c r="G26" s="51"/>
    </row>
    <row r="27" spans="1:7" s="52" customFormat="1" ht="15" thickBot="1" x14ac:dyDescent="0.35">
      <c r="A27" s="162" t="s">
        <v>31</v>
      </c>
      <c r="B27" s="83">
        <f>SUM(B18:B26)</f>
        <v>48</v>
      </c>
      <c r="C27" s="162" t="str">
        <f xml:space="preserve"> setValueToTime(B27)</f>
        <v>4h</v>
      </c>
      <c r="D27" s="121"/>
      <c r="E27" s="260"/>
      <c r="F27" s="261"/>
      <c r="G27" s="51"/>
    </row>
    <row r="28" spans="1:7" s="59" customFormat="1" ht="15" thickBot="1" x14ac:dyDescent="0.35">
      <c r="A28" s="77"/>
      <c r="B28" s="77"/>
      <c r="C28" s="77"/>
      <c r="D28" s="77"/>
      <c r="E28" s="77"/>
      <c r="F28" s="77"/>
      <c r="G28" s="58"/>
    </row>
    <row r="29" spans="1:7" s="47" customFormat="1" ht="30" customHeight="1" thickBot="1" x14ac:dyDescent="0.3">
      <c r="A29" s="156" t="s">
        <v>16</v>
      </c>
      <c r="B29" s="164">
        <v>9</v>
      </c>
      <c r="C29" s="164"/>
      <c r="D29" s="157" t="s">
        <v>19</v>
      </c>
      <c r="E29" s="158" t="s">
        <v>85</v>
      </c>
      <c r="F29" s="159" t="s">
        <v>46</v>
      </c>
      <c r="G29" s="46"/>
    </row>
    <row r="30" spans="1:7" s="47" customFormat="1" ht="30" customHeight="1" thickBot="1" x14ac:dyDescent="0.3">
      <c r="A30" s="78" t="s">
        <v>5</v>
      </c>
      <c r="B30" s="161" t="s">
        <v>42</v>
      </c>
      <c r="C30" s="160">
        <v>38</v>
      </c>
      <c r="D30" s="78" t="s">
        <v>17</v>
      </c>
      <c r="E30" s="262" t="s">
        <v>18</v>
      </c>
      <c r="F30" s="263"/>
      <c r="G30" s="46"/>
    </row>
    <row r="31" spans="1:7" s="52" customFormat="1" ht="67.5" x14ac:dyDescent="0.3">
      <c r="A31" s="48" t="s">
        <v>96</v>
      </c>
      <c r="B31" s="49">
        <v>20</v>
      </c>
      <c r="C31" s="152" t="str">
        <f xml:space="preserve"> IF(B31="","",setValueToTime(B31))</f>
        <v>1h40min</v>
      </c>
      <c r="D31" s="172" t="s">
        <v>203</v>
      </c>
      <c r="E31" s="252"/>
      <c r="F31" s="253"/>
      <c r="G31" s="51"/>
    </row>
    <row r="32" spans="1:7" s="52" customFormat="1" ht="40.5" x14ac:dyDescent="0.3">
      <c r="A32" s="53" t="s">
        <v>95</v>
      </c>
      <c r="B32" s="54">
        <v>8</v>
      </c>
      <c r="C32" s="153" t="str">
        <f t="shared" ref="C32:C37" si="2" xml:space="preserve"> IF(B32="","",setValueToTime(B32))</f>
        <v>0h40min</v>
      </c>
      <c r="D32" s="175" t="s">
        <v>200</v>
      </c>
      <c r="E32" s="264" t="s">
        <v>201</v>
      </c>
      <c r="F32" s="265"/>
      <c r="G32" s="51"/>
    </row>
    <row r="33" spans="1:7" s="52" customFormat="1" x14ac:dyDescent="0.3">
      <c r="A33" s="53"/>
      <c r="B33" s="54"/>
      <c r="C33" s="153"/>
      <c r="D33" s="175"/>
      <c r="E33" s="264" t="s">
        <v>202</v>
      </c>
      <c r="F33" s="265"/>
      <c r="G33" s="51"/>
    </row>
    <row r="34" spans="1:7" s="52" customFormat="1" ht="27" x14ac:dyDescent="0.3">
      <c r="A34" s="53" t="s">
        <v>101</v>
      </c>
      <c r="B34" s="54">
        <v>5</v>
      </c>
      <c r="C34" s="153" t="str">
        <f t="shared" si="2"/>
        <v>0h25min</v>
      </c>
      <c r="D34" s="175" t="s">
        <v>199</v>
      </c>
      <c r="E34" s="254"/>
      <c r="F34" s="255"/>
      <c r="G34" s="51"/>
    </row>
    <row r="35" spans="1:7" s="52" customFormat="1" x14ac:dyDescent="0.3">
      <c r="A35" s="53" t="s">
        <v>91</v>
      </c>
      <c r="B35" s="54">
        <v>3</v>
      </c>
      <c r="C35" s="153" t="str">
        <f t="shared" si="2"/>
        <v>0h15min</v>
      </c>
      <c r="D35" s="175" t="s">
        <v>178</v>
      </c>
      <c r="E35" s="254"/>
      <c r="F35" s="255"/>
      <c r="G35" s="51"/>
    </row>
    <row r="36" spans="1:7" s="52" customFormat="1" ht="27" x14ac:dyDescent="0.3">
      <c r="A36" s="53" t="s">
        <v>4</v>
      </c>
      <c r="B36" s="54">
        <v>2</v>
      </c>
      <c r="C36" s="153" t="str">
        <f t="shared" si="2"/>
        <v>0h10min</v>
      </c>
      <c r="D36" s="175" t="s">
        <v>204</v>
      </c>
      <c r="E36" s="202"/>
      <c r="F36" s="203"/>
      <c r="G36" s="51"/>
    </row>
    <row r="37" spans="1:7" s="52" customFormat="1" ht="27.75" thickBot="1" x14ac:dyDescent="0.35">
      <c r="A37" s="54"/>
      <c r="B37" s="54"/>
      <c r="C37" s="154" t="str">
        <f t="shared" si="2"/>
        <v/>
      </c>
      <c r="D37" s="175" t="s">
        <v>205</v>
      </c>
      <c r="E37" s="254"/>
      <c r="F37" s="255"/>
      <c r="G37" s="51"/>
    </row>
    <row r="38" spans="1:7" s="52" customFormat="1" ht="15" thickBot="1" x14ac:dyDescent="0.35">
      <c r="A38" s="162" t="s">
        <v>31</v>
      </c>
      <c r="B38" s="83">
        <f>SUM(B31:B37)</f>
        <v>38</v>
      </c>
      <c r="C38" s="162" t="str">
        <f xml:space="preserve"> setValueToTime(B38)</f>
        <v>3h10min</v>
      </c>
      <c r="D38" s="121"/>
      <c r="E38" s="260"/>
      <c r="F38" s="261"/>
      <c r="G38" s="51"/>
    </row>
    <row r="39" spans="1:7" s="59" customFormat="1" ht="15" thickBot="1" x14ac:dyDescent="0.35">
      <c r="A39" s="77"/>
      <c r="B39" s="77"/>
      <c r="C39" s="77"/>
      <c r="D39" s="77"/>
      <c r="E39" s="77"/>
      <c r="F39" s="77"/>
      <c r="G39" s="58"/>
    </row>
    <row r="40" spans="1:7" s="47" customFormat="1" ht="30" customHeight="1" thickBot="1" x14ac:dyDescent="0.3">
      <c r="A40" s="156" t="s">
        <v>16</v>
      </c>
      <c r="B40" s="164">
        <v>8</v>
      </c>
      <c r="C40" s="164"/>
      <c r="D40" s="157" t="s">
        <v>19</v>
      </c>
      <c r="E40" s="158" t="s">
        <v>86</v>
      </c>
      <c r="F40" s="159" t="s">
        <v>45</v>
      </c>
      <c r="G40" s="46"/>
    </row>
    <row r="41" spans="1:7" s="47" customFormat="1" ht="30" customHeight="1" thickBot="1" x14ac:dyDescent="0.3">
      <c r="A41" s="78" t="s">
        <v>5</v>
      </c>
      <c r="B41" s="161" t="s">
        <v>42</v>
      </c>
      <c r="C41" s="160">
        <v>38</v>
      </c>
      <c r="D41" s="78" t="s">
        <v>17</v>
      </c>
      <c r="E41" s="262" t="s">
        <v>18</v>
      </c>
      <c r="F41" s="263"/>
      <c r="G41" s="46"/>
    </row>
    <row r="42" spans="1:7" s="52" customFormat="1" ht="81" x14ac:dyDescent="0.3">
      <c r="A42" s="48" t="s">
        <v>92</v>
      </c>
      <c r="B42" s="49">
        <v>24</v>
      </c>
      <c r="C42" s="152" t="str">
        <f xml:space="preserve"> IF(B42="","",setValueToTime(B42))</f>
        <v>2h</v>
      </c>
      <c r="D42" s="172" t="s">
        <v>191</v>
      </c>
      <c r="E42" s="252"/>
      <c r="F42" s="253"/>
      <c r="G42" s="51"/>
    </row>
    <row r="43" spans="1:7" s="52" customFormat="1" ht="27" x14ac:dyDescent="0.3">
      <c r="A43" s="53" t="s">
        <v>102</v>
      </c>
      <c r="B43" s="54">
        <v>11</v>
      </c>
      <c r="C43" s="154" t="str">
        <f t="shared" ref="C43" si="3" xml:space="preserve"> IF(B43="","",setValueToTime(B43))</f>
        <v>0h55min</v>
      </c>
      <c r="D43" s="175" t="s">
        <v>192</v>
      </c>
      <c r="E43" s="254"/>
      <c r="F43" s="255"/>
      <c r="G43" s="51"/>
    </row>
    <row r="44" spans="1:7" s="52" customFormat="1" x14ac:dyDescent="0.3">
      <c r="A44" s="53" t="s">
        <v>91</v>
      </c>
      <c r="B44" s="54">
        <v>3</v>
      </c>
      <c r="C44" s="153" t="str">
        <f t="shared" ref="C44:C45" si="4" xml:space="preserve"> IF(B44="","",setValueToTime(B44))</f>
        <v>0h15min</v>
      </c>
      <c r="D44" s="175" t="s">
        <v>147</v>
      </c>
      <c r="E44" s="254"/>
      <c r="F44" s="255"/>
      <c r="G44" s="51"/>
    </row>
    <row r="45" spans="1:7" s="52" customFormat="1" ht="54.75" thickBot="1" x14ac:dyDescent="0.35">
      <c r="A45" s="53"/>
      <c r="B45" s="54"/>
      <c r="C45" s="153" t="str">
        <f t="shared" si="4"/>
        <v/>
      </c>
      <c r="D45" s="175" t="s">
        <v>190</v>
      </c>
      <c r="E45" s="254"/>
      <c r="F45" s="255"/>
      <c r="G45" s="51"/>
    </row>
    <row r="46" spans="1:7" s="52" customFormat="1" ht="15" thickBot="1" x14ac:dyDescent="0.35">
      <c r="A46" s="162" t="s">
        <v>31</v>
      </c>
      <c r="B46" s="83">
        <f>SUM(B42:B45)</f>
        <v>38</v>
      </c>
      <c r="C46" s="162" t="str">
        <f xml:space="preserve"> setValueToTime(B46)</f>
        <v>3h10min</v>
      </c>
      <c r="D46" s="121"/>
      <c r="E46" s="260"/>
      <c r="F46" s="261"/>
      <c r="G46" s="51"/>
    </row>
    <row r="47" spans="1:7" s="59" customFormat="1" ht="15" thickBot="1" x14ac:dyDescent="0.35">
      <c r="A47" s="77"/>
      <c r="B47" s="77"/>
      <c r="C47" s="77"/>
      <c r="D47" s="77"/>
      <c r="E47" s="77"/>
      <c r="F47" s="77"/>
      <c r="G47" s="58"/>
    </row>
    <row r="48" spans="1:7" s="47" customFormat="1" ht="30" customHeight="1" thickBot="1" x14ac:dyDescent="0.3">
      <c r="A48" s="156" t="s">
        <v>16</v>
      </c>
      <c r="B48" s="164">
        <v>7</v>
      </c>
      <c r="C48" s="164"/>
      <c r="D48" s="157" t="s">
        <v>19</v>
      </c>
      <c r="E48" s="158" t="s">
        <v>86</v>
      </c>
      <c r="F48" s="159" t="s">
        <v>46</v>
      </c>
      <c r="G48" s="46"/>
    </row>
    <row r="49" spans="1:7" s="47" customFormat="1" ht="30" customHeight="1" thickBot="1" x14ac:dyDescent="0.3">
      <c r="A49" s="78" t="s">
        <v>5</v>
      </c>
      <c r="B49" s="161" t="s">
        <v>42</v>
      </c>
      <c r="C49" s="160">
        <v>48</v>
      </c>
      <c r="D49" s="78" t="s">
        <v>17</v>
      </c>
      <c r="E49" s="262" t="s">
        <v>18</v>
      </c>
      <c r="F49" s="263"/>
      <c r="G49" s="46"/>
    </row>
    <row r="50" spans="1:7" s="52" customFormat="1" ht="54" x14ac:dyDescent="0.3">
      <c r="A50" s="48" t="s">
        <v>92</v>
      </c>
      <c r="B50" s="49">
        <v>12</v>
      </c>
      <c r="C50" s="152" t="str">
        <f xml:space="preserve"> IF(B50="","",setValueToTime(B50))</f>
        <v>1h</v>
      </c>
      <c r="D50" s="172" t="s">
        <v>193</v>
      </c>
      <c r="E50" s="252"/>
      <c r="F50" s="253"/>
      <c r="G50" s="51"/>
    </row>
    <row r="51" spans="1:7" s="52" customFormat="1" ht="81" x14ac:dyDescent="0.3">
      <c r="A51" s="53" t="s">
        <v>96</v>
      </c>
      <c r="B51" s="54">
        <v>23</v>
      </c>
      <c r="C51" s="153" t="str">
        <f t="shared" ref="C51:C55" si="5" xml:space="preserve"> IF(B51="","",setValueToTime(B51))</f>
        <v>1h55min</v>
      </c>
      <c r="D51" s="175" t="s">
        <v>196</v>
      </c>
      <c r="E51" s="254"/>
      <c r="F51" s="255"/>
      <c r="G51" s="51"/>
    </row>
    <row r="52" spans="1:7" s="52" customFormat="1" ht="27" x14ac:dyDescent="0.3">
      <c r="A52" s="53" t="s">
        <v>101</v>
      </c>
      <c r="B52" s="54">
        <v>5</v>
      </c>
      <c r="C52" s="153" t="str">
        <f t="shared" si="5"/>
        <v>0h25min</v>
      </c>
      <c r="D52" s="175" t="s">
        <v>194</v>
      </c>
      <c r="E52" s="254"/>
      <c r="F52" s="255"/>
      <c r="G52" s="51"/>
    </row>
    <row r="53" spans="1:7" s="52" customFormat="1" ht="27" x14ac:dyDescent="0.3">
      <c r="A53" s="53" t="s">
        <v>95</v>
      </c>
      <c r="B53" s="54">
        <v>5</v>
      </c>
      <c r="C53" s="153" t="str">
        <f t="shared" si="5"/>
        <v>0h25min</v>
      </c>
      <c r="D53" s="175" t="s">
        <v>195</v>
      </c>
      <c r="E53" s="264" t="s">
        <v>188</v>
      </c>
      <c r="F53" s="265"/>
      <c r="G53" s="51"/>
    </row>
    <row r="54" spans="1:7" s="52" customFormat="1" x14ac:dyDescent="0.3">
      <c r="A54" s="54" t="s">
        <v>91</v>
      </c>
      <c r="B54" s="54">
        <v>3</v>
      </c>
      <c r="C54" s="154" t="str">
        <f t="shared" si="5"/>
        <v>0h15min</v>
      </c>
      <c r="D54" s="175" t="s">
        <v>178</v>
      </c>
      <c r="E54" s="254"/>
      <c r="F54" s="255"/>
      <c r="G54" s="51"/>
    </row>
    <row r="55" spans="1:7" s="52" customFormat="1" ht="54.75" thickBot="1" x14ac:dyDescent="0.35">
      <c r="A55" s="54"/>
      <c r="B55" s="54"/>
      <c r="C55" s="154" t="str">
        <f t="shared" si="5"/>
        <v/>
      </c>
      <c r="D55" s="175" t="s">
        <v>189</v>
      </c>
      <c r="E55" s="254"/>
      <c r="F55" s="255"/>
      <c r="G55" s="51"/>
    </row>
    <row r="56" spans="1:7" s="52" customFormat="1" ht="15" thickBot="1" x14ac:dyDescent="0.35">
      <c r="A56" s="162" t="s">
        <v>31</v>
      </c>
      <c r="B56" s="83">
        <f>SUM(B50:B55)</f>
        <v>48</v>
      </c>
      <c r="C56" s="162" t="str">
        <f xml:space="preserve"> setValueToTime(B56)</f>
        <v>4h</v>
      </c>
      <c r="D56" s="121"/>
      <c r="E56" s="260"/>
      <c r="F56" s="261"/>
      <c r="G56" s="51"/>
    </row>
    <row r="57" spans="1:7" s="59" customFormat="1" ht="15" thickBot="1" x14ac:dyDescent="0.35">
      <c r="A57" s="77"/>
      <c r="B57" s="77"/>
      <c r="C57" s="77"/>
      <c r="D57" s="77"/>
      <c r="E57" s="77"/>
      <c r="F57" s="77"/>
      <c r="G57" s="58"/>
    </row>
    <row r="58" spans="1:7" s="47" customFormat="1" ht="30" customHeight="1" thickBot="1" x14ac:dyDescent="0.3">
      <c r="A58" s="156" t="s">
        <v>16</v>
      </c>
      <c r="B58" s="164">
        <v>6</v>
      </c>
      <c r="C58" s="164"/>
      <c r="D58" s="157" t="s">
        <v>19</v>
      </c>
      <c r="E58" s="158" t="s">
        <v>87</v>
      </c>
      <c r="F58" s="159" t="s">
        <v>46</v>
      </c>
      <c r="G58" s="46"/>
    </row>
    <row r="59" spans="1:7" s="47" customFormat="1" ht="30" customHeight="1" thickBot="1" x14ac:dyDescent="0.3">
      <c r="A59" s="78" t="s">
        <v>5</v>
      </c>
      <c r="B59" s="161" t="s">
        <v>42</v>
      </c>
      <c r="C59" s="160">
        <v>38</v>
      </c>
      <c r="D59" s="78" t="s">
        <v>17</v>
      </c>
      <c r="E59" s="262" t="s">
        <v>18</v>
      </c>
      <c r="F59" s="263"/>
      <c r="G59" s="46"/>
    </row>
    <row r="60" spans="1:7" s="52" customFormat="1" ht="40.5" x14ac:dyDescent="0.3">
      <c r="A60" s="48" t="s">
        <v>4</v>
      </c>
      <c r="B60" s="49">
        <v>2</v>
      </c>
      <c r="C60" s="152" t="str">
        <f xml:space="preserve"> IF(B60="","",setValueToTime(B60))</f>
        <v>0h10min</v>
      </c>
      <c r="D60" s="172" t="s">
        <v>183</v>
      </c>
      <c r="E60" s="252"/>
      <c r="F60" s="253"/>
      <c r="G60" s="51"/>
    </row>
    <row r="61" spans="1:7" s="52" customFormat="1" x14ac:dyDescent="0.3">
      <c r="A61" s="53" t="s">
        <v>92</v>
      </c>
      <c r="B61" s="54">
        <v>6</v>
      </c>
      <c r="C61" s="153" t="str">
        <f t="shared" ref="C61:C65" si="6" xml:space="preserve"> IF(B61="","",setValueToTime(B61))</f>
        <v>0h30min</v>
      </c>
      <c r="D61" s="175" t="s">
        <v>184</v>
      </c>
      <c r="E61" s="254"/>
      <c r="F61" s="255"/>
      <c r="G61" s="51"/>
    </row>
    <row r="62" spans="1:7" s="52" customFormat="1" ht="27" x14ac:dyDescent="0.3">
      <c r="A62" s="53" t="s">
        <v>94</v>
      </c>
      <c r="B62" s="54">
        <v>10</v>
      </c>
      <c r="C62" s="153" t="str">
        <f t="shared" si="6"/>
        <v>0h50min</v>
      </c>
      <c r="D62" s="175" t="s">
        <v>186</v>
      </c>
      <c r="E62" s="254"/>
      <c r="F62" s="255"/>
      <c r="G62" s="51"/>
    </row>
    <row r="63" spans="1:7" s="52" customFormat="1" ht="40.5" x14ac:dyDescent="0.3">
      <c r="A63" s="53" t="s">
        <v>101</v>
      </c>
      <c r="B63" s="54">
        <v>17</v>
      </c>
      <c r="C63" s="153" t="str">
        <f t="shared" si="6"/>
        <v>1h25min</v>
      </c>
      <c r="D63" s="175" t="s">
        <v>185</v>
      </c>
      <c r="E63" s="254"/>
      <c r="F63" s="255"/>
      <c r="G63" s="51"/>
    </row>
    <row r="64" spans="1:7" s="52" customFormat="1" x14ac:dyDescent="0.3">
      <c r="A64" s="54" t="s">
        <v>91</v>
      </c>
      <c r="B64" s="54">
        <v>3</v>
      </c>
      <c r="C64" s="154" t="str">
        <f t="shared" si="6"/>
        <v>0h15min</v>
      </c>
      <c r="D64" s="175" t="s">
        <v>178</v>
      </c>
      <c r="E64" s="254"/>
      <c r="F64" s="255"/>
      <c r="G64" s="51"/>
    </row>
    <row r="65" spans="1:7" s="52" customFormat="1" ht="41.25" thickBot="1" x14ac:dyDescent="0.35">
      <c r="A65" s="54"/>
      <c r="B65" s="54"/>
      <c r="C65" s="154" t="str">
        <f t="shared" si="6"/>
        <v/>
      </c>
      <c r="D65" s="175" t="s">
        <v>187</v>
      </c>
      <c r="E65" s="254"/>
      <c r="F65" s="255"/>
      <c r="G65" s="51"/>
    </row>
    <row r="66" spans="1:7" s="52" customFormat="1" ht="15" thickBot="1" x14ac:dyDescent="0.35">
      <c r="A66" s="162" t="s">
        <v>31</v>
      </c>
      <c r="B66" s="83">
        <f>SUM(B60:B65)</f>
        <v>38</v>
      </c>
      <c r="C66" s="162" t="str">
        <f xml:space="preserve"> setValueToTime(B66)</f>
        <v>3h10min</v>
      </c>
      <c r="D66" s="121"/>
      <c r="E66" s="260"/>
      <c r="F66" s="261"/>
      <c r="G66" s="51"/>
    </row>
    <row r="67" spans="1:7" s="59" customFormat="1" ht="15" thickBot="1" x14ac:dyDescent="0.35">
      <c r="A67" s="77"/>
      <c r="B67" s="77"/>
      <c r="C67" s="77"/>
      <c r="D67" s="77"/>
      <c r="E67" s="77"/>
      <c r="F67" s="77"/>
      <c r="G67" s="58"/>
    </row>
    <row r="68" spans="1:7" s="47" customFormat="1" ht="30" customHeight="1" thickBot="1" x14ac:dyDescent="0.3">
      <c r="A68" s="156" t="s">
        <v>16</v>
      </c>
      <c r="B68" s="164">
        <v>5</v>
      </c>
      <c r="C68" s="164"/>
      <c r="D68" s="157" t="s">
        <v>19</v>
      </c>
      <c r="E68" s="158" t="s">
        <v>74</v>
      </c>
      <c r="F68" s="159" t="s">
        <v>45</v>
      </c>
      <c r="G68" s="46"/>
    </row>
    <row r="69" spans="1:7" s="47" customFormat="1" ht="30" customHeight="1" thickBot="1" x14ac:dyDescent="0.3">
      <c r="A69" s="78" t="s">
        <v>5</v>
      </c>
      <c r="B69" s="161" t="s">
        <v>42</v>
      </c>
      <c r="C69" s="160">
        <v>38</v>
      </c>
      <c r="D69" s="78" t="s">
        <v>17</v>
      </c>
      <c r="E69" s="262" t="s">
        <v>18</v>
      </c>
      <c r="F69" s="263"/>
      <c r="G69" s="46"/>
    </row>
    <row r="70" spans="1:7" s="52" customFormat="1" ht="162" x14ac:dyDescent="0.3">
      <c r="A70" s="48" t="s">
        <v>94</v>
      </c>
      <c r="B70" s="49">
        <v>20</v>
      </c>
      <c r="C70" s="152" t="str">
        <f xml:space="preserve"> IF(B70="","",setValueToTime(B70))</f>
        <v>1h40min</v>
      </c>
      <c r="D70" s="172" t="s">
        <v>182</v>
      </c>
      <c r="E70" s="268" t="s">
        <v>172</v>
      </c>
      <c r="F70" s="269"/>
      <c r="G70" s="51"/>
    </row>
    <row r="71" spans="1:7" s="52" customFormat="1" ht="40.5" x14ac:dyDescent="0.3">
      <c r="A71" s="53" t="s">
        <v>92</v>
      </c>
      <c r="B71" s="54">
        <v>15</v>
      </c>
      <c r="C71" s="153" t="str">
        <f t="shared" ref="C71:C73" si="7" xml:space="preserve"> IF(B71="","",setValueToTime(B71))</f>
        <v>1h15min</v>
      </c>
      <c r="D71" s="175" t="s">
        <v>179</v>
      </c>
      <c r="E71" s="254"/>
      <c r="F71" s="255"/>
      <c r="G71" s="51"/>
    </row>
    <row r="72" spans="1:7" s="52" customFormat="1" x14ac:dyDescent="0.3">
      <c r="A72" s="53" t="s">
        <v>91</v>
      </c>
      <c r="B72" s="54">
        <v>3</v>
      </c>
      <c r="C72" s="153" t="str">
        <f t="shared" si="7"/>
        <v>0h15min</v>
      </c>
      <c r="D72" s="175" t="s">
        <v>147</v>
      </c>
      <c r="E72" s="254"/>
      <c r="F72" s="255"/>
      <c r="G72" s="51"/>
    </row>
    <row r="73" spans="1:7" s="52" customFormat="1" ht="41.25" thickBot="1" x14ac:dyDescent="0.35">
      <c r="A73" s="53"/>
      <c r="B73" s="54"/>
      <c r="C73" s="153" t="str">
        <f t="shared" si="7"/>
        <v/>
      </c>
      <c r="D73" s="175" t="s">
        <v>181</v>
      </c>
      <c r="E73" s="254"/>
      <c r="F73" s="255"/>
      <c r="G73" s="51"/>
    </row>
    <row r="74" spans="1:7" s="52" customFormat="1" ht="15" thickBot="1" x14ac:dyDescent="0.35">
      <c r="A74" s="162" t="s">
        <v>31</v>
      </c>
      <c r="B74" s="83">
        <f>SUM(B70:B73)</f>
        <v>38</v>
      </c>
      <c r="C74" s="162" t="str">
        <f xml:space="preserve"> setValueToTime(B74)</f>
        <v>3h10min</v>
      </c>
      <c r="D74" s="121"/>
      <c r="E74" s="260"/>
      <c r="F74" s="261"/>
      <c r="G74" s="51"/>
    </row>
    <row r="75" spans="1:7" s="59" customFormat="1" ht="15" thickBot="1" x14ac:dyDescent="0.35">
      <c r="A75" s="77"/>
      <c r="B75" s="77"/>
      <c r="C75" s="77"/>
      <c r="D75" s="77"/>
      <c r="E75" s="77"/>
      <c r="F75" s="77"/>
      <c r="G75" s="58"/>
    </row>
    <row r="76" spans="1:7" s="47" customFormat="1" ht="30" customHeight="1" thickBot="1" x14ac:dyDescent="0.3">
      <c r="A76" s="156" t="s">
        <v>16</v>
      </c>
      <c r="B76" s="164">
        <v>4</v>
      </c>
      <c r="C76" s="164"/>
      <c r="D76" s="157" t="s">
        <v>19</v>
      </c>
      <c r="E76" s="158" t="s">
        <v>74</v>
      </c>
      <c r="F76" s="159" t="s">
        <v>46</v>
      </c>
      <c r="G76" s="46"/>
    </row>
    <row r="77" spans="1:7" s="47" customFormat="1" ht="30" customHeight="1" thickBot="1" x14ac:dyDescent="0.3">
      <c r="A77" s="78" t="s">
        <v>5</v>
      </c>
      <c r="B77" s="161" t="s">
        <v>42</v>
      </c>
      <c r="C77" s="160">
        <v>38</v>
      </c>
      <c r="D77" s="78" t="s">
        <v>17</v>
      </c>
      <c r="E77" s="262" t="s">
        <v>18</v>
      </c>
      <c r="F77" s="263"/>
      <c r="G77" s="46"/>
    </row>
    <row r="78" spans="1:7" s="52" customFormat="1" ht="81" x14ac:dyDescent="0.3">
      <c r="A78" s="48" t="s">
        <v>90</v>
      </c>
      <c r="B78" s="49">
        <v>16</v>
      </c>
      <c r="C78" s="152" t="str">
        <f xml:space="preserve"> IF(B78="","",setValueToTime(B78))</f>
        <v>1h20min</v>
      </c>
      <c r="D78" s="172" t="s">
        <v>177</v>
      </c>
      <c r="E78" s="266" t="s">
        <v>171</v>
      </c>
      <c r="F78" s="267"/>
      <c r="G78" s="51"/>
    </row>
    <row r="79" spans="1:7" s="52" customFormat="1" x14ac:dyDescent="0.3">
      <c r="A79" s="198"/>
      <c r="B79" s="199"/>
      <c r="C79" s="200"/>
      <c r="D79" s="201"/>
      <c r="E79" s="264" t="s">
        <v>170</v>
      </c>
      <c r="F79" s="265"/>
      <c r="G79" s="51"/>
    </row>
    <row r="80" spans="1:7" s="52" customFormat="1" ht="189" x14ac:dyDescent="0.3">
      <c r="A80" s="53" t="s">
        <v>94</v>
      </c>
      <c r="B80" s="54">
        <v>19</v>
      </c>
      <c r="C80" s="153" t="str">
        <f t="shared" ref="C80:C85" si="8" xml:space="preserve"> IF(B80="","",setValueToTime(B80))</f>
        <v>1h35min</v>
      </c>
      <c r="D80" s="175" t="s">
        <v>180</v>
      </c>
      <c r="E80" s="268" t="s">
        <v>172</v>
      </c>
      <c r="F80" s="269"/>
      <c r="G80" s="51"/>
    </row>
    <row r="81" spans="1:7" s="52" customFormat="1" x14ac:dyDescent="0.3">
      <c r="A81" s="53"/>
      <c r="B81" s="54"/>
      <c r="C81" s="153"/>
      <c r="D81" s="175"/>
      <c r="E81" s="270" t="s">
        <v>173</v>
      </c>
      <c r="F81" s="271"/>
      <c r="G81" s="51"/>
    </row>
    <row r="82" spans="1:7" s="52" customFormat="1" x14ac:dyDescent="0.3">
      <c r="A82" s="53"/>
      <c r="B82" s="54"/>
      <c r="C82" s="153"/>
      <c r="D82" s="175"/>
      <c r="E82" s="264" t="s">
        <v>174</v>
      </c>
      <c r="F82" s="265"/>
      <c r="G82" s="51"/>
    </row>
    <row r="83" spans="1:7" s="52" customFormat="1" x14ac:dyDescent="0.3">
      <c r="A83" s="53"/>
      <c r="B83" s="54"/>
      <c r="C83" s="153"/>
      <c r="D83" s="175"/>
      <c r="E83" s="264" t="s">
        <v>175</v>
      </c>
      <c r="F83" s="265"/>
      <c r="G83" s="51"/>
    </row>
    <row r="84" spans="1:7" s="52" customFormat="1" x14ac:dyDescent="0.3">
      <c r="A84" s="53" t="s">
        <v>91</v>
      </c>
      <c r="B84" s="54">
        <v>3</v>
      </c>
      <c r="C84" s="153" t="str">
        <f t="shared" si="8"/>
        <v>0h15min</v>
      </c>
      <c r="D84" s="175" t="s">
        <v>178</v>
      </c>
      <c r="E84" s="254"/>
      <c r="F84" s="255"/>
      <c r="G84" s="51"/>
    </row>
    <row r="85" spans="1:7" s="52" customFormat="1" ht="27.75" thickBot="1" x14ac:dyDescent="0.35">
      <c r="A85" s="53"/>
      <c r="B85" s="54"/>
      <c r="C85" s="153" t="str">
        <f t="shared" si="8"/>
        <v/>
      </c>
      <c r="D85" s="175" t="s">
        <v>176</v>
      </c>
      <c r="E85" s="254"/>
      <c r="F85" s="255"/>
      <c r="G85" s="51"/>
    </row>
    <row r="86" spans="1:7" s="52" customFormat="1" ht="15" thickBot="1" x14ac:dyDescent="0.35">
      <c r="A86" s="162" t="s">
        <v>31</v>
      </c>
      <c r="B86" s="83">
        <f>SUM(B78:B85)</f>
        <v>38</v>
      </c>
      <c r="C86" s="162" t="str">
        <f xml:space="preserve"> setValueToTime(B86)</f>
        <v>3h10min</v>
      </c>
      <c r="D86" s="121"/>
      <c r="E86" s="260"/>
      <c r="F86" s="261"/>
      <c r="G86" s="51"/>
    </row>
    <row r="87" spans="1:7" s="59" customFormat="1" ht="15" thickBot="1" x14ac:dyDescent="0.35">
      <c r="A87" s="77"/>
      <c r="B87" s="77"/>
      <c r="C87" s="77"/>
      <c r="D87" s="77"/>
      <c r="E87" s="77"/>
      <c r="F87" s="77"/>
      <c r="G87" s="58"/>
    </row>
    <row r="88" spans="1:7" s="47" customFormat="1" ht="30" customHeight="1" thickBot="1" x14ac:dyDescent="0.3">
      <c r="A88" s="156" t="s">
        <v>16</v>
      </c>
      <c r="B88" s="164">
        <v>3</v>
      </c>
      <c r="C88" s="164"/>
      <c r="D88" s="157" t="s">
        <v>19</v>
      </c>
      <c r="E88" s="158" t="s">
        <v>75</v>
      </c>
      <c r="F88" s="159" t="s">
        <v>45</v>
      </c>
      <c r="G88" s="46"/>
    </row>
    <row r="89" spans="1:7" s="47" customFormat="1" ht="30" customHeight="1" thickBot="1" x14ac:dyDescent="0.3">
      <c r="A89" s="78" t="s">
        <v>5</v>
      </c>
      <c r="B89" s="161" t="s">
        <v>42</v>
      </c>
      <c r="C89" s="160">
        <v>38</v>
      </c>
      <c r="D89" s="78" t="s">
        <v>17</v>
      </c>
      <c r="E89" s="262" t="s">
        <v>18</v>
      </c>
      <c r="F89" s="263"/>
      <c r="G89" s="46"/>
    </row>
    <row r="90" spans="1:7" s="52" customFormat="1" ht="40.5" x14ac:dyDescent="0.3">
      <c r="A90" s="48" t="s">
        <v>92</v>
      </c>
      <c r="B90" s="49">
        <v>20</v>
      </c>
      <c r="C90" s="152" t="str">
        <f xml:space="preserve"> IF(B90="","",setValueToTime(B90))</f>
        <v>1h40min</v>
      </c>
      <c r="D90" s="172" t="s">
        <v>150</v>
      </c>
      <c r="E90" s="252"/>
      <c r="F90" s="253"/>
      <c r="G90" s="51"/>
    </row>
    <row r="91" spans="1:7" s="52" customFormat="1" ht="40.5" x14ac:dyDescent="0.3">
      <c r="A91" s="53" t="s">
        <v>4</v>
      </c>
      <c r="B91" s="54">
        <v>2</v>
      </c>
      <c r="C91" s="153" t="str">
        <f t="shared" ref="C91" si="9" xml:space="preserve"> IF(B91="","",setValueToTime(B91))</f>
        <v>0h10min</v>
      </c>
      <c r="D91" s="175" t="s">
        <v>154</v>
      </c>
      <c r="E91" s="254"/>
      <c r="F91" s="255"/>
      <c r="G91" s="51"/>
    </row>
    <row r="92" spans="1:7" s="52" customFormat="1" ht="81" x14ac:dyDescent="0.3">
      <c r="A92" s="53" t="s">
        <v>90</v>
      </c>
      <c r="B92" s="54">
        <v>13</v>
      </c>
      <c r="C92" s="153" t="str">
        <f t="shared" ref="C92:C94" si="10" xml:space="preserve"> IF(B92="","",setValueToTime(B92))</f>
        <v>1h5min</v>
      </c>
      <c r="D92" s="175" t="s">
        <v>151</v>
      </c>
      <c r="E92" s="264" t="s">
        <v>153</v>
      </c>
      <c r="F92" s="265"/>
      <c r="G92" s="51"/>
    </row>
    <row r="93" spans="1:7" s="52" customFormat="1" x14ac:dyDescent="0.3">
      <c r="A93" s="53" t="s">
        <v>91</v>
      </c>
      <c r="B93" s="54">
        <v>3</v>
      </c>
      <c r="C93" s="153" t="str">
        <f t="shared" si="10"/>
        <v>0h15min</v>
      </c>
      <c r="D93" s="175" t="s">
        <v>147</v>
      </c>
      <c r="E93" s="254"/>
      <c r="F93" s="255"/>
      <c r="G93" s="51"/>
    </row>
    <row r="94" spans="1:7" s="52" customFormat="1" ht="41.25" thickBot="1" x14ac:dyDescent="0.35">
      <c r="A94" s="54"/>
      <c r="B94" s="54"/>
      <c r="C94" s="154" t="str">
        <f t="shared" si="10"/>
        <v/>
      </c>
      <c r="D94" s="175" t="s">
        <v>152</v>
      </c>
      <c r="E94" s="254"/>
      <c r="F94" s="255"/>
      <c r="G94" s="51"/>
    </row>
    <row r="95" spans="1:7" s="52" customFormat="1" ht="15" thickBot="1" x14ac:dyDescent="0.35">
      <c r="A95" s="162" t="s">
        <v>31</v>
      </c>
      <c r="B95" s="83">
        <f>SUM(B90:B94)</f>
        <v>38</v>
      </c>
      <c r="C95" s="162" t="str">
        <f xml:space="preserve"> setValueToTime(B95)</f>
        <v>3h10min</v>
      </c>
      <c r="D95" s="121"/>
      <c r="E95" s="260"/>
      <c r="F95" s="261"/>
      <c r="G95" s="51"/>
    </row>
    <row r="96" spans="1:7" s="59" customFormat="1" ht="15" thickBot="1" x14ac:dyDescent="0.35">
      <c r="A96" s="77"/>
      <c r="B96" s="77"/>
      <c r="C96" s="77"/>
      <c r="D96" s="77"/>
      <c r="E96" s="77"/>
      <c r="F96" s="77"/>
      <c r="G96" s="58"/>
    </row>
    <row r="97" spans="1:7" s="47" customFormat="1" ht="30" customHeight="1" thickBot="1" x14ac:dyDescent="0.3">
      <c r="A97" s="156" t="s">
        <v>16</v>
      </c>
      <c r="B97" s="164">
        <v>2</v>
      </c>
      <c r="C97" s="164"/>
      <c r="D97" s="157" t="s">
        <v>19</v>
      </c>
      <c r="E97" s="158" t="s">
        <v>75</v>
      </c>
      <c r="F97" s="159" t="s">
        <v>46</v>
      </c>
      <c r="G97" s="46"/>
    </row>
    <row r="98" spans="1:7" s="47" customFormat="1" ht="30" customHeight="1" thickBot="1" x14ac:dyDescent="0.3">
      <c r="A98" s="78" t="s">
        <v>5</v>
      </c>
      <c r="B98" s="161" t="s">
        <v>42</v>
      </c>
      <c r="C98" s="160">
        <v>48</v>
      </c>
      <c r="D98" s="78" t="s">
        <v>17</v>
      </c>
      <c r="E98" s="262" t="s">
        <v>18</v>
      </c>
      <c r="F98" s="263"/>
      <c r="G98" s="46"/>
    </row>
    <row r="99" spans="1:7" s="52" customFormat="1" ht="27" x14ac:dyDescent="0.3">
      <c r="A99" s="48" t="s">
        <v>90</v>
      </c>
      <c r="B99" s="49">
        <v>25</v>
      </c>
      <c r="C99" s="152" t="str">
        <f xml:space="preserve"> IF(B99="","",setValueToTime(B99))</f>
        <v>2h5min</v>
      </c>
      <c r="D99" s="172" t="s">
        <v>129</v>
      </c>
      <c r="E99" s="252"/>
      <c r="F99" s="253"/>
      <c r="G99" s="51"/>
    </row>
    <row r="100" spans="1:7" s="52" customFormat="1" ht="54" x14ac:dyDescent="0.3">
      <c r="A100" s="53" t="s">
        <v>89</v>
      </c>
      <c r="B100" s="54">
        <v>10</v>
      </c>
      <c r="C100" s="153" t="str">
        <f t="shared" ref="C100:C104" si="11" xml:space="preserve"> IF(B100="","",setValueToTime(B100))</f>
        <v>0h50min</v>
      </c>
      <c r="D100" s="175" t="s">
        <v>130</v>
      </c>
      <c r="E100" s="254"/>
      <c r="F100" s="255"/>
      <c r="G100" s="51"/>
    </row>
    <row r="101" spans="1:7" s="52" customFormat="1" ht="27" x14ac:dyDescent="0.3">
      <c r="A101" s="53" t="s">
        <v>103</v>
      </c>
      <c r="B101" s="54">
        <v>5</v>
      </c>
      <c r="C101" s="153" t="str">
        <f t="shared" si="11"/>
        <v>0h25min</v>
      </c>
      <c r="D101" s="175" t="s">
        <v>131</v>
      </c>
      <c r="E101" s="254"/>
      <c r="F101" s="255"/>
      <c r="G101" s="51"/>
    </row>
    <row r="102" spans="1:7" s="52" customFormat="1" ht="27" x14ac:dyDescent="0.3">
      <c r="A102" s="53" t="s">
        <v>92</v>
      </c>
      <c r="B102" s="54">
        <v>5</v>
      </c>
      <c r="C102" s="153" t="str">
        <f t="shared" si="11"/>
        <v>0h25min</v>
      </c>
      <c r="D102" s="175" t="s">
        <v>132</v>
      </c>
      <c r="E102" s="264" t="s">
        <v>134</v>
      </c>
      <c r="F102" s="265"/>
      <c r="G102" s="51"/>
    </row>
    <row r="103" spans="1:7" s="52" customFormat="1" x14ac:dyDescent="0.3">
      <c r="A103" s="54" t="s">
        <v>91</v>
      </c>
      <c r="B103" s="54">
        <v>3</v>
      </c>
      <c r="C103" s="154" t="str">
        <f t="shared" si="11"/>
        <v>0h15min</v>
      </c>
      <c r="D103" s="175" t="s">
        <v>133</v>
      </c>
      <c r="E103" s="254"/>
      <c r="F103" s="255"/>
      <c r="G103" s="51"/>
    </row>
    <row r="104" spans="1:7" s="52" customFormat="1" ht="41.25" thickBot="1" x14ac:dyDescent="0.35">
      <c r="A104" s="54"/>
      <c r="B104" s="54"/>
      <c r="C104" s="154" t="str">
        <f t="shared" si="11"/>
        <v/>
      </c>
      <c r="D104" s="175" t="s">
        <v>149</v>
      </c>
      <c r="E104" s="254"/>
      <c r="F104" s="255"/>
      <c r="G104" s="51"/>
    </row>
    <row r="105" spans="1:7" s="52" customFormat="1" ht="15" thickBot="1" x14ac:dyDescent="0.35">
      <c r="A105" s="162" t="s">
        <v>31</v>
      </c>
      <c r="B105" s="83">
        <f>SUM(B99:B104)</f>
        <v>48</v>
      </c>
      <c r="C105" s="162" t="str">
        <f xml:space="preserve"> setValueToTime(B105)</f>
        <v>4h</v>
      </c>
      <c r="D105" s="121"/>
      <c r="E105" s="260"/>
      <c r="F105" s="261"/>
      <c r="G105" s="51"/>
    </row>
    <row r="106" spans="1:7" s="59" customFormat="1" ht="15" thickBot="1" x14ac:dyDescent="0.35">
      <c r="A106" s="77"/>
      <c r="B106" s="77"/>
      <c r="C106" s="77"/>
      <c r="D106" s="77"/>
      <c r="E106" s="77"/>
      <c r="F106" s="77"/>
      <c r="G106" s="58"/>
    </row>
    <row r="107" spans="1:7" s="47" customFormat="1" ht="30" customHeight="1" thickBot="1" x14ac:dyDescent="0.3">
      <c r="A107" s="156" t="s">
        <v>16</v>
      </c>
      <c r="B107" s="164">
        <v>1</v>
      </c>
      <c r="C107" s="164"/>
      <c r="D107" s="157" t="s">
        <v>19</v>
      </c>
      <c r="E107" s="158" t="s">
        <v>43</v>
      </c>
      <c r="F107" s="159" t="s">
        <v>45</v>
      </c>
      <c r="G107" s="46"/>
    </row>
    <row r="108" spans="1:7" s="47" customFormat="1" ht="30" customHeight="1" thickBot="1" x14ac:dyDescent="0.3">
      <c r="A108" s="78" t="s">
        <v>5</v>
      </c>
      <c r="B108" s="161" t="s">
        <v>42</v>
      </c>
      <c r="C108" s="160">
        <v>38</v>
      </c>
      <c r="D108" s="78" t="s">
        <v>17</v>
      </c>
      <c r="E108" s="262" t="s">
        <v>18</v>
      </c>
      <c r="F108" s="263"/>
      <c r="G108" s="46"/>
    </row>
    <row r="109" spans="1:7" s="52" customFormat="1" ht="108" x14ac:dyDescent="0.3">
      <c r="A109" s="48" t="s">
        <v>89</v>
      </c>
      <c r="B109" s="54">
        <v>8</v>
      </c>
      <c r="C109" s="153" t="str">
        <f t="shared" ref="C109" si="12" xml:space="preserve"> IF(B109="","",setValueToTime(B109))</f>
        <v>0h40min</v>
      </c>
      <c r="D109" s="172" t="s">
        <v>126</v>
      </c>
      <c r="E109" s="252"/>
      <c r="F109" s="253"/>
      <c r="G109" s="51"/>
    </row>
    <row r="110" spans="1:7" s="52" customFormat="1" x14ac:dyDescent="0.3">
      <c r="A110" s="53" t="s">
        <v>4</v>
      </c>
      <c r="B110" s="54">
        <v>5</v>
      </c>
      <c r="C110" s="153" t="str">
        <f t="shared" ref="C110:C114" si="13" xml:space="preserve"> IF(B110="","",setValueToTime(B110))</f>
        <v>0h25min</v>
      </c>
      <c r="D110" s="175" t="s">
        <v>125</v>
      </c>
      <c r="E110" s="254"/>
      <c r="F110" s="255"/>
      <c r="G110" s="51"/>
    </row>
    <row r="111" spans="1:7" s="52" customFormat="1" ht="27" x14ac:dyDescent="0.3">
      <c r="A111" s="53" t="s">
        <v>90</v>
      </c>
      <c r="B111" s="54">
        <v>10</v>
      </c>
      <c r="C111" s="153" t="str">
        <f t="shared" si="13"/>
        <v>0h50min</v>
      </c>
      <c r="D111" s="175" t="s">
        <v>135</v>
      </c>
      <c r="E111" s="254"/>
      <c r="F111" s="255"/>
      <c r="G111" s="51"/>
    </row>
    <row r="112" spans="1:7" s="52" customFormat="1" ht="40.5" x14ac:dyDescent="0.3">
      <c r="A112" s="53" t="s">
        <v>102</v>
      </c>
      <c r="B112" s="54">
        <v>12</v>
      </c>
      <c r="C112" s="153" t="str">
        <f t="shared" si="13"/>
        <v>1h</v>
      </c>
      <c r="D112" s="175" t="s">
        <v>127</v>
      </c>
      <c r="E112" s="254"/>
      <c r="F112" s="255"/>
      <c r="G112" s="51"/>
    </row>
    <row r="113" spans="1:7" s="52" customFormat="1" x14ac:dyDescent="0.3">
      <c r="A113" s="54" t="s">
        <v>91</v>
      </c>
      <c r="B113" s="54">
        <v>3</v>
      </c>
      <c r="C113" s="154" t="str">
        <f t="shared" si="13"/>
        <v>0h15min</v>
      </c>
      <c r="D113" s="175" t="s">
        <v>128</v>
      </c>
      <c r="E113" s="254"/>
      <c r="F113" s="255"/>
      <c r="G113" s="51"/>
    </row>
    <row r="114" spans="1:7" s="52" customFormat="1" ht="27.75" thickBot="1" x14ac:dyDescent="0.35">
      <c r="A114" s="54"/>
      <c r="B114" s="54"/>
      <c r="C114" s="154" t="str">
        <f t="shared" si="13"/>
        <v/>
      </c>
      <c r="D114" s="175" t="s">
        <v>148</v>
      </c>
      <c r="E114" s="254"/>
      <c r="F114" s="255"/>
      <c r="G114" s="51"/>
    </row>
    <row r="115" spans="1:7" s="52" customFormat="1" ht="15" thickBot="1" x14ac:dyDescent="0.35">
      <c r="A115" s="162" t="s">
        <v>31</v>
      </c>
      <c r="B115" s="83">
        <f>SUM(B109:B114)</f>
        <v>38</v>
      </c>
      <c r="C115" s="162" t="str">
        <f xml:space="preserve"> setValueToTime(B115)</f>
        <v>3h10min</v>
      </c>
      <c r="D115" s="121"/>
      <c r="E115" s="260"/>
      <c r="F115" s="261"/>
      <c r="G115" s="51"/>
    </row>
    <row r="116" spans="1:7" s="59" customFormat="1" x14ac:dyDescent="0.3">
      <c r="A116" s="77"/>
      <c r="B116" s="77"/>
      <c r="C116" s="77"/>
      <c r="D116" s="77"/>
      <c r="E116" s="77"/>
      <c r="F116" s="77"/>
      <c r="G116" s="58"/>
    </row>
  </sheetData>
  <sheetProtection formatRows="0" insertRows="0" insertHyperlinks="0" deleteRows="0" selectLockedCells="1"/>
  <mergeCells count="91">
    <mergeCell ref="E10:F10"/>
    <mergeCell ref="E11:F11"/>
    <mergeCell ref="E12:F12"/>
    <mergeCell ref="E13:F13"/>
    <mergeCell ref="E14:F14"/>
    <mergeCell ref="E3:F3"/>
    <mergeCell ref="E4:F4"/>
    <mergeCell ref="E7:F7"/>
    <mergeCell ref="E8:F8"/>
    <mergeCell ref="E9:F9"/>
    <mergeCell ref="E6:F6"/>
    <mergeCell ref="E23:F23"/>
    <mergeCell ref="E24:F24"/>
    <mergeCell ref="E25:F25"/>
    <mergeCell ref="E26:F26"/>
    <mergeCell ref="E27:F27"/>
    <mergeCell ref="E17:F17"/>
    <mergeCell ref="E18:F18"/>
    <mergeCell ref="E19:F19"/>
    <mergeCell ref="E21:F21"/>
    <mergeCell ref="E22:F22"/>
    <mergeCell ref="E20:F20"/>
    <mergeCell ref="E46:F46"/>
    <mergeCell ref="E41:F41"/>
    <mergeCell ref="E42:F42"/>
    <mergeCell ref="E43:F43"/>
    <mergeCell ref="E44:F44"/>
    <mergeCell ref="E45:F45"/>
    <mergeCell ref="E54:F54"/>
    <mergeCell ref="E55:F55"/>
    <mergeCell ref="E56:F56"/>
    <mergeCell ref="E49:F49"/>
    <mergeCell ref="E50:F50"/>
    <mergeCell ref="E51:F51"/>
    <mergeCell ref="E52:F52"/>
    <mergeCell ref="E53:F53"/>
    <mergeCell ref="E74:F74"/>
    <mergeCell ref="E69:F69"/>
    <mergeCell ref="E70:F70"/>
    <mergeCell ref="E71:F71"/>
    <mergeCell ref="E72:F72"/>
    <mergeCell ref="E73:F73"/>
    <mergeCell ref="E86:F86"/>
    <mergeCell ref="E77:F77"/>
    <mergeCell ref="E78:F78"/>
    <mergeCell ref="E80:F80"/>
    <mergeCell ref="E84:F84"/>
    <mergeCell ref="E85:F85"/>
    <mergeCell ref="E81:F81"/>
    <mergeCell ref="E79:F79"/>
    <mergeCell ref="E82:F82"/>
    <mergeCell ref="E83:F83"/>
    <mergeCell ref="E114:F114"/>
    <mergeCell ref="E115:F115"/>
    <mergeCell ref="E108:F108"/>
    <mergeCell ref="E109:F109"/>
    <mergeCell ref="E110:F110"/>
    <mergeCell ref="E111:F111"/>
    <mergeCell ref="E112:F112"/>
    <mergeCell ref="E113:F113"/>
    <mergeCell ref="E95:F95"/>
    <mergeCell ref="E104:F104"/>
    <mergeCell ref="E105:F105"/>
    <mergeCell ref="E89:F89"/>
    <mergeCell ref="E90:F90"/>
    <mergeCell ref="E91:F91"/>
    <mergeCell ref="E92:F92"/>
    <mergeCell ref="E93:F93"/>
    <mergeCell ref="E94:F94"/>
    <mergeCell ref="E98:F98"/>
    <mergeCell ref="E99:F99"/>
    <mergeCell ref="E100:F100"/>
    <mergeCell ref="E101:F101"/>
    <mergeCell ref="E102:F102"/>
    <mergeCell ref="E103:F103"/>
    <mergeCell ref="E64:F64"/>
    <mergeCell ref="E65:F65"/>
    <mergeCell ref="E66:F66"/>
    <mergeCell ref="E59:F59"/>
    <mergeCell ref="E60:F60"/>
    <mergeCell ref="E61:F61"/>
    <mergeCell ref="E62:F62"/>
    <mergeCell ref="E63:F63"/>
    <mergeCell ref="E37:F37"/>
    <mergeCell ref="E38:F38"/>
    <mergeCell ref="E30:F30"/>
    <mergeCell ref="E31:F31"/>
    <mergeCell ref="E32:F32"/>
    <mergeCell ref="E34:F34"/>
    <mergeCell ref="E35:F35"/>
    <mergeCell ref="E33:F33"/>
  </mergeCells>
  <phoneticPr fontId="0" type="noConversion"/>
  <conditionalFormatting sqref="B115">
    <cfRule type="cellIs" dxfId="12" priority="39" operator="greaterThan">
      <formula>60</formula>
    </cfRule>
  </conditionalFormatting>
  <conditionalFormatting sqref="B105">
    <cfRule type="cellIs" dxfId="11" priority="38" operator="greaterThan">
      <formula>60</formula>
    </cfRule>
  </conditionalFormatting>
  <conditionalFormatting sqref="B95">
    <cfRule type="cellIs" dxfId="10" priority="37" operator="greaterThan">
      <formula>60</formula>
    </cfRule>
  </conditionalFormatting>
  <conditionalFormatting sqref="B86">
    <cfRule type="cellIs" dxfId="9" priority="8" operator="greaterThan">
      <formula>60</formula>
    </cfRule>
  </conditionalFormatting>
  <conditionalFormatting sqref="B74">
    <cfRule type="cellIs" dxfId="8" priority="7" operator="greaterThan">
      <formula>60</formula>
    </cfRule>
  </conditionalFormatting>
  <conditionalFormatting sqref="B66">
    <cfRule type="cellIs" dxfId="7" priority="6" operator="greaterThan">
      <formula>60</formula>
    </cfRule>
  </conditionalFormatting>
  <conditionalFormatting sqref="B56">
    <cfRule type="cellIs" dxfId="6" priority="5" operator="greaterThan">
      <formula>60</formula>
    </cfRule>
  </conditionalFormatting>
  <conditionalFormatting sqref="B46">
    <cfRule type="cellIs" dxfId="5" priority="4" operator="greaterThan">
      <formula>60</formula>
    </cfRule>
  </conditionalFormatting>
  <conditionalFormatting sqref="B38">
    <cfRule type="cellIs" dxfId="4" priority="3" operator="greaterThan">
      <formula>60</formula>
    </cfRule>
  </conditionalFormatting>
  <conditionalFormatting sqref="B27">
    <cfRule type="cellIs" dxfId="3" priority="2" operator="greaterThan">
      <formula>60</formula>
    </cfRule>
  </conditionalFormatting>
  <conditionalFormatting sqref="B14">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99:B104 B109:B114 B90:B94 B78:B85 B70:B73 B60:B65 B50:B55 B42:B45 B31:B37 B18:B26 B4:B1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5 B105 B95 B86 B74 B66 B56 B46 B38 B27 B14">
      <formula1>0</formula1>
      <formula2>60</formula2>
    </dataValidation>
    <dataValidation type="list" allowBlank="1" showInputMessage="1" showErrorMessage="1" sqref="A99:A104 A109:A114 A90:A94 A78:A85 A70:A73 A60:A65 A50:A55 A42:A45 A31:A37 A18:A26 A4:A13">
      <formula1>ListeTaches</formula1>
    </dataValidation>
  </dataValidations>
  <hyperlinks>
    <hyperlink ref="E102:F102" r:id="rId1" display="www.tpivd.ch"/>
    <hyperlink ref="E92:F92" r:id="rId2" display="Modèle du tableau tâches"/>
    <hyperlink ref="E78" r:id="rId3"/>
    <hyperlink ref="E81" r:id="rId4"/>
    <hyperlink ref="E80:F80" r:id="rId5" display="moqups.com"/>
    <hyperlink ref="E82:F82" r:id="rId6" display="Application android 2"/>
    <hyperlink ref="E83:F83" r:id="rId7" display="Application android 3"/>
    <hyperlink ref="E79:F79" r:id="rId8" display="Marche à suivre core data"/>
    <hyperlink ref="E70:F70" r:id="rId9" display="moqups.com"/>
    <hyperlink ref="E53:F53" r:id="rId10" display="openclassrooms cocoapods"/>
    <hyperlink ref="E32:F32" r:id="rId11" display="content view"/>
    <hyperlink ref="E33:F33" r:id="rId12" display="UIApplicationDelegate"/>
    <hyperlink ref="E20:F20" r:id="rId13" display="cocoapods tuto"/>
    <hyperlink ref="E4:F4" r:id="rId14" display="Firebase google"/>
    <hyperlink ref="E6:F6" r:id="rId15" display="UiCollectionView tuto"/>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6"/>
  <headerFooter alignWithMargins="0">
    <oddHeader>&amp;L&amp;"ETML,Normal"&amp;14ETML&amp;R&amp;14&amp;USection Informatique</oddHeader>
    <oddFooter>&amp;L&amp;14&amp;D - GGZ&amp;C&amp;14&amp;F - &amp;A&amp;R&amp;14&amp;P/&amp;N</oddFooter>
  </headerFooter>
  <drawing r:id="rId17"/>
  <legacyDrawing r:id="rId18"/>
  <controls>
    <mc:AlternateContent xmlns:mc="http://schemas.openxmlformats.org/markup-compatibility/2006">
      <mc:Choice Requires="x14">
        <control shapeId="9224" r:id="rId19" name="btnRapatriementJournal">
          <controlPr defaultSize="0" autoLine="0" r:id="rId20">
            <anchor moveWithCells="1">
              <from>
                <xdr:col>0</xdr:col>
                <xdr:colOff>104775</xdr:colOff>
                <xdr:row>0</xdr:row>
                <xdr:rowOff>85725</xdr:rowOff>
              </from>
              <to>
                <xdr:col>1</xdr:col>
                <xdr:colOff>457200</xdr:colOff>
                <xdr:row>0</xdr:row>
                <xdr:rowOff>552450</xdr:rowOff>
              </to>
            </anchor>
          </controlPr>
        </control>
      </mc:Choice>
      <mc:Fallback>
        <control shapeId="9224" r:id="rId19" name="btnRapatriementJournal"/>
      </mc:Fallback>
    </mc:AlternateContent>
    <mc:AlternateContent xmlns:mc="http://schemas.openxmlformats.org/markup-compatibility/2006">
      <mc:Choice Requires="x14">
        <control shapeId="9220" r:id="rId21" name="btnAjoutSeqJournal">
          <controlPr defaultSize="0" autoLine="0" r:id="rId22">
            <anchor moveWithCells="1">
              <from>
                <xdr:col>2</xdr:col>
                <xdr:colOff>85725</xdr:colOff>
                <xdr:row>0</xdr:row>
                <xdr:rowOff>85725</xdr:rowOff>
              </from>
              <to>
                <xdr:col>3</xdr:col>
                <xdr:colOff>447675</xdr:colOff>
                <xdr:row>0</xdr:row>
                <xdr:rowOff>561975</xdr:rowOff>
              </to>
            </anchor>
          </controlPr>
        </control>
      </mc:Choice>
      <mc:Fallback>
        <control shapeId="9220" r:id="rId2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D7" sqref="D7"/>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96</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21" t="s">
        <v>16</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90"/>
    </row>
    <row r="14" spans="1:61" ht="15.75" thickBot="1" x14ac:dyDescent="0.35">
      <c r="A14" s="103"/>
      <c r="B14" s="104"/>
      <c r="C14" s="104"/>
      <c r="D14" s="104"/>
      <c r="E14" s="224" t="s">
        <v>36</v>
      </c>
      <c r="F14" s="224"/>
      <c r="G14" s="224"/>
      <c r="H14" s="224"/>
      <c r="I14" s="104"/>
      <c r="J14" s="104"/>
      <c r="K14" s="225" t="s">
        <v>26</v>
      </c>
      <c r="L14" s="225"/>
      <c r="M14" s="225"/>
      <c r="N14" s="225"/>
      <c r="O14" s="129"/>
      <c r="P14" s="129"/>
      <c r="Q14" s="224" t="s">
        <v>37</v>
      </c>
      <c r="R14" s="224"/>
      <c r="S14" s="224"/>
      <c r="T14" s="224"/>
      <c r="U14" s="104"/>
      <c r="V14" s="104"/>
      <c r="W14" s="225" t="s">
        <v>27</v>
      </c>
      <c r="X14" s="225"/>
      <c r="Y14" s="225"/>
      <c r="Z14" s="225"/>
      <c r="AA14" s="129"/>
      <c r="AB14" s="129"/>
      <c r="AC14" s="224" t="s">
        <v>38</v>
      </c>
      <c r="AD14" s="224"/>
      <c r="AE14" s="224"/>
      <c r="AF14" s="224"/>
      <c r="AG14" s="104"/>
      <c r="AH14" s="104"/>
      <c r="AI14" s="225" t="s">
        <v>28</v>
      </c>
      <c r="AJ14" s="225"/>
      <c r="AK14" s="225"/>
      <c r="AL14" s="225"/>
      <c r="AM14" s="129"/>
      <c r="AN14" s="129"/>
      <c r="AO14" s="224" t="s">
        <v>39</v>
      </c>
      <c r="AP14" s="224"/>
      <c r="AQ14" s="224"/>
      <c r="AR14" s="224"/>
      <c r="AS14" s="104"/>
      <c r="AT14" s="104"/>
      <c r="AU14" s="225" t="s">
        <v>29</v>
      </c>
      <c r="AV14" s="225"/>
      <c r="AW14" s="225"/>
      <c r="AX14" s="225"/>
      <c r="AY14" s="129"/>
      <c r="AZ14" s="129"/>
      <c r="BA14" s="224" t="s">
        <v>40</v>
      </c>
      <c r="BB14" s="224"/>
      <c r="BC14" s="224"/>
      <c r="BD14" s="22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50" t="s">
        <v>18</v>
      </c>
      <c r="F2" s="251"/>
      <c r="G2" s="46"/>
    </row>
    <row r="3" spans="1:7" s="52" customFormat="1" x14ac:dyDescent="0.3">
      <c r="A3" s="48"/>
      <c r="B3" s="49"/>
      <c r="C3" s="152" t="str">
        <f xml:space="preserve"> IF(B3="","",setValueToTime(B3))</f>
        <v/>
      </c>
      <c r="D3" s="50"/>
      <c r="E3" s="252"/>
      <c r="F3" s="253"/>
      <c r="G3" s="51"/>
    </row>
    <row r="4" spans="1:7" s="52" customFormat="1" x14ac:dyDescent="0.3">
      <c r="A4" s="53"/>
      <c r="B4" s="54"/>
      <c r="C4" s="153" t="str">
        <f t="shared" ref="C4:C10" si="0" xml:space="preserve"> IF(B4="","",setValueToTime(B4))</f>
        <v/>
      </c>
      <c r="D4" s="55"/>
      <c r="E4" s="254"/>
      <c r="F4" s="255"/>
      <c r="G4" s="51"/>
    </row>
    <row r="5" spans="1:7" s="52" customFormat="1" x14ac:dyDescent="0.3">
      <c r="A5" s="53"/>
      <c r="B5" s="54"/>
      <c r="C5" s="153" t="str">
        <f t="shared" si="0"/>
        <v/>
      </c>
      <c r="D5" s="55"/>
      <c r="E5" s="254"/>
      <c r="F5" s="255"/>
      <c r="G5" s="51"/>
    </row>
    <row r="6" spans="1:7" s="52" customFormat="1" x14ac:dyDescent="0.3">
      <c r="A6" s="53"/>
      <c r="B6" s="54"/>
      <c r="C6" s="153" t="str">
        <f t="shared" si="0"/>
        <v/>
      </c>
      <c r="D6" s="55"/>
      <c r="E6" s="254"/>
      <c r="F6" s="255"/>
      <c r="G6" s="51"/>
    </row>
    <row r="7" spans="1:7" s="52" customFormat="1" x14ac:dyDescent="0.3">
      <c r="A7" s="54"/>
      <c r="B7" s="54"/>
      <c r="C7" s="154" t="str">
        <f t="shared" si="0"/>
        <v/>
      </c>
      <c r="D7" s="55"/>
      <c r="E7" s="254"/>
      <c r="F7" s="255"/>
      <c r="G7" s="51"/>
    </row>
    <row r="8" spans="1:7" s="52" customFormat="1" x14ac:dyDescent="0.3">
      <c r="A8" s="54"/>
      <c r="B8" s="54"/>
      <c r="C8" s="154" t="str">
        <f t="shared" si="0"/>
        <v/>
      </c>
      <c r="D8" s="55"/>
      <c r="E8" s="254"/>
      <c r="F8" s="255"/>
      <c r="G8" s="51"/>
    </row>
    <row r="9" spans="1:7" s="52" customFormat="1" x14ac:dyDescent="0.3">
      <c r="A9" s="54"/>
      <c r="B9" s="54"/>
      <c r="C9" s="154" t="str">
        <f t="shared" si="0"/>
        <v/>
      </c>
      <c r="D9" s="55"/>
      <c r="E9" s="254"/>
      <c r="F9" s="255"/>
      <c r="G9" s="51"/>
    </row>
    <row r="10" spans="1:7" s="52" customFormat="1" ht="15" thickBot="1" x14ac:dyDescent="0.35">
      <c r="A10" s="56"/>
      <c r="B10" s="56"/>
      <c r="C10" s="155" t="str">
        <f t="shared" si="0"/>
        <v/>
      </c>
      <c r="D10" s="57"/>
      <c r="E10" s="256"/>
      <c r="F10" s="257"/>
      <c r="G10" s="51"/>
    </row>
    <row r="11" spans="1:7" s="52" customFormat="1" ht="15" thickBot="1" x14ac:dyDescent="0.35">
      <c r="A11" s="111" t="s">
        <v>31</v>
      </c>
      <c r="B11" s="84">
        <f>SUM(B3:B10)</f>
        <v>0</v>
      </c>
      <c r="C11" s="111" t="str">
        <f xml:space="preserve"> setValueToTime(B11)</f>
        <v>0h</v>
      </c>
      <c r="D11" s="120"/>
      <c r="E11" s="258"/>
      <c r="F11" s="259"/>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62" t="s">
        <v>18</v>
      </c>
      <c r="F2" s="263"/>
      <c r="G2" s="46"/>
    </row>
    <row r="3" spans="1:7" s="52" customFormat="1" x14ac:dyDescent="0.3">
      <c r="A3" s="48"/>
      <c r="B3" s="49"/>
      <c r="C3" s="152" t="str">
        <f xml:space="preserve"> IF(B3="","",setValueToTime(B3))</f>
        <v/>
      </c>
      <c r="D3" s="50"/>
      <c r="E3" s="252"/>
      <c r="F3" s="253"/>
      <c r="G3" s="51"/>
    </row>
    <row r="4" spans="1:7" s="52" customFormat="1" x14ac:dyDescent="0.3">
      <c r="A4" s="53"/>
      <c r="B4" s="54"/>
      <c r="C4" s="153" t="str">
        <f t="shared" ref="C4:C10" si="0" xml:space="preserve"> IF(B4="","",setValueToTime(B4))</f>
        <v/>
      </c>
      <c r="D4" s="55"/>
      <c r="E4" s="254"/>
      <c r="F4" s="255"/>
      <c r="G4" s="51"/>
    </row>
    <row r="5" spans="1:7" s="52" customFormat="1" x14ac:dyDescent="0.3">
      <c r="A5" s="53"/>
      <c r="B5" s="54"/>
      <c r="C5" s="153" t="str">
        <f t="shared" si="0"/>
        <v/>
      </c>
      <c r="D5" s="55"/>
      <c r="E5" s="254"/>
      <c r="F5" s="255"/>
      <c r="G5" s="51"/>
    </row>
    <row r="6" spans="1:7" s="52" customFormat="1" x14ac:dyDescent="0.3">
      <c r="A6" s="53"/>
      <c r="B6" s="54"/>
      <c r="C6" s="153" t="str">
        <f t="shared" si="0"/>
        <v/>
      </c>
      <c r="D6" s="55"/>
      <c r="E6" s="254"/>
      <c r="F6" s="255"/>
      <c r="G6" s="51"/>
    </row>
    <row r="7" spans="1:7" s="52" customFormat="1" x14ac:dyDescent="0.3">
      <c r="A7" s="54"/>
      <c r="B7" s="54"/>
      <c r="C7" s="154" t="str">
        <f t="shared" si="0"/>
        <v/>
      </c>
      <c r="D7" s="55"/>
      <c r="E7" s="254"/>
      <c r="F7" s="255"/>
      <c r="G7" s="51"/>
    </row>
    <row r="8" spans="1:7" s="52" customFormat="1" x14ac:dyDescent="0.3">
      <c r="A8" s="54"/>
      <c r="B8" s="54"/>
      <c r="C8" s="154" t="str">
        <f t="shared" si="0"/>
        <v/>
      </c>
      <c r="D8" s="55"/>
      <c r="E8" s="254"/>
      <c r="F8" s="255"/>
      <c r="G8" s="51"/>
    </row>
    <row r="9" spans="1:7" s="52" customFormat="1" x14ac:dyDescent="0.3">
      <c r="A9" s="54"/>
      <c r="B9" s="54"/>
      <c r="C9" s="154" t="str">
        <f t="shared" si="0"/>
        <v/>
      </c>
      <c r="D9" s="55"/>
      <c r="E9" s="254"/>
      <c r="F9" s="255"/>
      <c r="G9" s="51"/>
    </row>
    <row r="10" spans="1:7" s="52" customFormat="1" ht="15" thickBot="1" x14ac:dyDescent="0.35">
      <c r="A10" s="56"/>
      <c r="B10" s="56"/>
      <c r="C10" s="155" t="str">
        <f t="shared" si="0"/>
        <v/>
      </c>
      <c r="D10" s="57"/>
      <c r="E10" s="256"/>
      <c r="F10" s="257"/>
      <c r="G10" s="51"/>
    </row>
    <row r="11" spans="1:7" s="52" customFormat="1" ht="15" thickBot="1" x14ac:dyDescent="0.35">
      <c r="A11" s="162" t="s">
        <v>31</v>
      </c>
      <c r="B11" s="83">
        <f>SUM(B3:B10)</f>
        <v>0</v>
      </c>
      <c r="C11" s="162" t="str">
        <f xml:space="preserve"> setValueToTime(B11)</f>
        <v>0h</v>
      </c>
      <c r="D11" s="121"/>
      <c r="E11" s="260"/>
      <c r="F11" s="26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2021-05-19T14:23:15Z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